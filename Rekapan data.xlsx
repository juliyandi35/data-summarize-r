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Data Summarize\"/>
    </mc:Choice>
  </mc:AlternateContent>
  <xr:revisionPtr revIDLastSave="0" documentId="13_ncr:1_{48231BDE-BC83-4DCA-83A5-14B10CDF322D}" xr6:coauthVersionLast="47" xr6:coauthVersionMax="47" xr10:uidLastSave="{00000000-0000-0000-0000-000000000000}"/>
  <bookViews>
    <workbookView minimized="1" xWindow="4620" yWindow="3150" windowWidth="14400" windowHeight="7270" firstSheet="1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2" l="1"/>
  <c r="D22" i="2"/>
  <c r="E22" i="2"/>
  <c r="F22" i="2"/>
  <c r="G22" i="2"/>
  <c r="H22" i="2"/>
  <c r="I22" i="2"/>
  <c r="J22" i="2"/>
  <c r="K22" i="2"/>
  <c r="L22" i="2"/>
  <c r="M22" i="2"/>
  <c r="N22" i="2"/>
  <c r="B22" i="2"/>
  <c r="M20" i="2"/>
  <c r="L20" i="2"/>
  <c r="K20" i="2"/>
  <c r="J20" i="2"/>
  <c r="I20" i="2"/>
  <c r="H20" i="2"/>
  <c r="G20" i="2"/>
  <c r="F20" i="2"/>
  <c r="E20" i="2"/>
  <c r="D20" i="2"/>
  <c r="C20" i="2"/>
  <c r="B20" i="2"/>
  <c r="N20" i="2" s="1"/>
  <c r="M19" i="2"/>
  <c r="L19" i="2"/>
  <c r="K19" i="2"/>
  <c r="J19" i="2"/>
  <c r="I19" i="2"/>
  <c r="H19" i="2"/>
  <c r="G19" i="2"/>
  <c r="F19" i="2"/>
  <c r="E19" i="2"/>
  <c r="D19" i="2"/>
  <c r="N19" i="2" s="1"/>
  <c r="C19" i="2"/>
  <c r="B19" i="2"/>
  <c r="M18" i="2"/>
  <c r="L18" i="2"/>
  <c r="K18" i="2"/>
  <c r="J18" i="2"/>
  <c r="I18" i="2"/>
  <c r="H18" i="2"/>
  <c r="G18" i="2"/>
  <c r="F18" i="2"/>
  <c r="E18" i="2"/>
  <c r="D18" i="2"/>
  <c r="C18" i="2"/>
  <c r="B18" i="2"/>
  <c r="N18" i="2" s="1"/>
  <c r="M17" i="2"/>
  <c r="L17" i="2"/>
  <c r="K17" i="2"/>
  <c r="J17" i="2"/>
  <c r="I17" i="2"/>
  <c r="H17" i="2"/>
  <c r="G17" i="2"/>
  <c r="F17" i="2"/>
  <c r="N17" i="2" s="1"/>
  <c r="E17" i="2"/>
  <c r="D17" i="2"/>
  <c r="C17" i="2"/>
  <c r="B17" i="2"/>
  <c r="M16" i="2"/>
  <c r="L16" i="2"/>
  <c r="K16" i="2"/>
  <c r="J16" i="2"/>
  <c r="I16" i="2"/>
  <c r="H16" i="2"/>
  <c r="G16" i="2"/>
  <c r="F16" i="2"/>
  <c r="E16" i="2"/>
  <c r="D16" i="2"/>
  <c r="C16" i="2"/>
  <c r="N16" i="2" s="1"/>
  <c r="B16" i="2"/>
  <c r="M15" i="2"/>
  <c r="L15" i="2"/>
  <c r="K15" i="2"/>
  <c r="J15" i="2"/>
  <c r="I15" i="2"/>
  <c r="H15" i="2"/>
  <c r="G15" i="2"/>
  <c r="F15" i="2"/>
  <c r="E15" i="2"/>
  <c r="D15" i="2"/>
  <c r="C15" i="2"/>
  <c r="B15" i="2"/>
  <c r="N15" i="2" s="1"/>
  <c r="M14" i="2"/>
  <c r="L14" i="2"/>
  <c r="K14" i="2"/>
  <c r="J14" i="2"/>
  <c r="I14" i="2"/>
  <c r="H14" i="2"/>
  <c r="G14" i="2"/>
  <c r="F14" i="2"/>
  <c r="E14" i="2"/>
  <c r="N14" i="2" s="1"/>
  <c r="D14" i="2"/>
  <c r="C14" i="2"/>
  <c r="B14" i="2"/>
  <c r="M13" i="2"/>
  <c r="L13" i="2"/>
  <c r="K13" i="2"/>
  <c r="J13" i="2"/>
  <c r="I13" i="2"/>
  <c r="H13" i="2"/>
  <c r="G13" i="2"/>
  <c r="F13" i="2"/>
  <c r="E13" i="2"/>
  <c r="D13" i="2"/>
  <c r="C13" i="2"/>
  <c r="B13" i="2"/>
  <c r="N13" i="2" s="1"/>
  <c r="M12" i="2"/>
  <c r="L12" i="2"/>
  <c r="K12" i="2"/>
  <c r="J12" i="2"/>
  <c r="I12" i="2"/>
  <c r="H12" i="2"/>
  <c r="G12" i="2"/>
  <c r="F12" i="2"/>
  <c r="E12" i="2"/>
  <c r="D12" i="2"/>
  <c r="C12" i="2"/>
  <c r="B12" i="2"/>
  <c r="N12" i="2" s="1"/>
  <c r="M11" i="2"/>
  <c r="L11" i="2"/>
  <c r="K11" i="2"/>
  <c r="J11" i="2"/>
  <c r="I11" i="2"/>
  <c r="H11" i="2"/>
  <c r="G11" i="2"/>
  <c r="F11" i="2"/>
  <c r="E11" i="2"/>
  <c r="D11" i="2"/>
  <c r="N11" i="2" s="1"/>
  <c r="C11" i="2"/>
  <c r="B11" i="2"/>
  <c r="M10" i="2"/>
  <c r="L10" i="2"/>
  <c r="K10" i="2"/>
  <c r="J10" i="2"/>
  <c r="I10" i="2"/>
  <c r="H10" i="2"/>
  <c r="G10" i="2"/>
  <c r="F10" i="2"/>
  <c r="E10" i="2"/>
  <c r="D10" i="2"/>
  <c r="C10" i="2"/>
  <c r="B10" i="2"/>
  <c r="N10" i="2" s="1"/>
  <c r="N9" i="2"/>
  <c r="M9" i="2"/>
  <c r="L9" i="2"/>
  <c r="K9" i="2"/>
  <c r="J9" i="2"/>
  <c r="I9" i="2"/>
  <c r="H9" i="2"/>
  <c r="G9" i="2"/>
  <c r="F9" i="2"/>
  <c r="E9" i="2"/>
  <c r="D9" i="2"/>
  <c r="C9" i="2"/>
  <c r="B9" i="2"/>
  <c r="M8" i="2"/>
  <c r="L8" i="2"/>
  <c r="K8" i="2"/>
  <c r="J8" i="2"/>
  <c r="I8" i="2"/>
  <c r="H8" i="2"/>
  <c r="G8" i="2"/>
  <c r="F8" i="2"/>
  <c r="E8" i="2"/>
  <c r="D8" i="2"/>
  <c r="C8" i="2"/>
  <c r="N8" i="2" s="1"/>
  <c r="B8" i="2"/>
  <c r="M7" i="2"/>
  <c r="L7" i="2"/>
  <c r="K7" i="2"/>
  <c r="J7" i="2"/>
  <c r="I7" i="2"/>
  <c r="H7" i="2"/>
  <c r="G7" i="2"/>
  <c r="F7" i="2"/>
  <c r="E7" i="2"/>
  <c r="D7" i="2"/>
  <c r="C7" i="2"/>
  <c r="B7" i="2"/>
  <c r="N7" i="2" s="1"/>
  <c r="M6" i="2"/>
  <c r="L6" i="2"/>
  <c r="K6" i="2"/>
  <c r="J6" i="2"/>
  <c r="I6" i="2"/>
  <c r="H6" i="2"/>
  <c r="G6" i="2"/>
  <c r="F6" i="2"/>
  <c r="E6" i="2"/>
  <c r="N6" i="2" s="1"/>
  <c r="D6" i="2"/>
  <c r="C6" i="2"/>
  <c r="B6" i="2"/>
  <c r="C183" i="1"/>
  <c r="D183" i="1"/>
  <c r="E183" i="1"/>
  <c r="F183" i="1"/>
  <c r="G183" i="1"/>
  <c r="H183" i="1"/>
  <c r="I183" i="1"/>
  <c r="J183" i="1"/>
  <c r="K183" i="1"/>
  <c r="L183" i="1"/>
  <c r="M183" i="1"/>
  <c r="B183" i="1"/>
</calcChain>
</file>

<file path=xl/sharedStrings.xml><?xml version="1.0" encoding="utf-8"?>
<sst xmlns="http://schemas.openxmlformats.org/spreadsheetml/2006/main" count="229" uniqueCount="213">
  <si>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</si>
  <si>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</si>
  <si>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</si>
  <si>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</si>
  <si>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</si>
  <si>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</si>
  <si>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</si>
  <si>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</si>
  <si>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</si>
  <si>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</si>
  <si>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</si>
  <si>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</si>
  <si>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Kasubbag Tata Usaha</t>
  </si>
  <si>
    <t>Ketua Tim Perencanaan dan Anggaran</t>
  </si>
  <si>
    <t>PP Pengembangan Usaha</t>
  </si>
  <si>
    <t>Tim Pelaksana Produksi &amp; Penyiaran Berita</t>
  </si>
  <si>
    <t>Tim Pelaksana Produksi &amp; Penyiaran Berita Berkala</t>
  </si>
  <si>
    <t>Tim Pelaksana Produksi &amp; Penyiaran Berita Harian</t>
  </si>
  <si>
    <t>Tim Pengadaan Barang dan Jasa</t>
  </si>
  <si>
    <t>Tim Pengelola Pengadaan Barang / Jasa</t>
  </si>
  <si>
    <t>Tim Pengelola Pengadaan Barang dan Jasa</t>
  </si>
  <si>
    <t>Tim Pengelola SDM</t>
  </si>
  <si>
    <t>Tim Pengelola SDM dan RB</t>
  </si>
  <si>
    <t>Tim Pengembangan Teknik</t>
  </si>
  <si>
    <t>Tim Perencana dan Pengendali PU</t>
  </si>
  <si>
    <t>Tim Perencanaan &amp; Pengendalian Pengembangan Usaha</t>
  </si>
  <si>
    <t>Tim Perencanaan dan Pengendalian Berita</t>
  </si>
  <si>
    <t>Tim Perencanaan dan Pengendalian Berita Harian</t>
  </si>
  <si>
    <t>Tim Perencanaan dan Pengendalian Pengembangan Usaha</t>
  </si>
  <si>
    <t>Tim Perencanaan dan Pengendalian Produksi &amp; Penyiaran Program</t>
  </si>
  <si>
    <t>Tim Perencanaan dan Pengendalian Promo</t>
  </si>
  <si>
    <t>Tim Produksi dan Penyiaran Teknik</t>
  </si>
  <si>
    <t>Bapa Turman (Tim Pengelola Pengadaan Barang dan Jasa)</t>
  </si>
  <si>
    <t>Ketua Tim PP Pengembangan Usaha</t>
  </si>
  <si>
    <t>Tim Perencanaan &amp;Pengendalian Pengembangan Usaha</t>
  </si>
  <si>
    <t>Tim Perencanaan dan Anggaran</t>
  </si>
  <si>
    <t>Tim Perencanaan dan Pengendalian Anggaran</t>
  </si>
  <si>
    <t>Tim Perencanaan dan Pengendalian Konten Media Baru</t>
  </si>
  <si>
    <t>Tim Produksi dan Penyiaran Berita Harian</t>
  </si>
  <si>
    <t>Tim SDM</t>
  </si>
  <si>
    <t>Tim SDM dan RB</t>
  </si>
  <si>
    <t>Tim teknik Produksi dan Penyiaran</t>
  </si>
  <si>
    <t>Tim Teknik Produksi dan Penyiaran</t>
  </si>
  <si>
    <t>Tim Transmisi dan Multiplexing</t>
  </si>
  <si>
    <t>Tata Usaha</t>
  </si>
  <si>
    <t>TATA USAHA</t>
  </si>
  <si>
    <t>Tim Dokumentasi dan Kepustakaan</t>
  </si>
  <si>
    <t>Tim Humas dan Keprotokolan</t>
  </si>
  <si>
    <t>Tim Pengelola SDM &amp; RB</t>
  </si>
  <si>
    <t>Tim Perencana Anggaran</t>
  </si>
  <si>
    <t>Tim Perencana dan Pengendalian Produksi &amp; Penyiaran Program</t>
  </si>
  <si>
    <t>Tim Perencanaan &amp; Pengendalian Konten Media Baru</t>
  </si>
  <si>
    <t>Tim Perencanaan dan Pengendalian Produksi &amp; Penyiaran Berita</t>
  </si>
  <si>
    <t>Tim Perncana, Pengendalian dan Anggaran</t>
  </si>
  <si>
    <t>Tim Tata Artistik, Tata Rias, Dekorasi dan Property</t>
  </si>
  <si>
    <t>Sub. Bag Tata Usaha</t>
  </si>
  <si>
    <t>Tim Dokumentasi dan kepustakaan</t>
  </si>
  <si>
    <t>Tim Pengelola BMN</t>
  </si>
  <si>
    <t>Tim Pengelola BMN dan Perlengkapan</t>
  </si>
  <si>
    <t>Tim Pengelola SMD</t>
  </si>
  <si>
    <t>Tim Perencana dan Pengendalian Berita</t>
  </si>
  <si>
    <t>Tim Perencana dan Pengendalian Konten Media Baru</t>
  </si>
  <si>
    <t>Tim Perencana dan Pengendalian Produksi &amp; Penyiaran Berita</t>
  </si>
  <si>
    <t>Tim Perencana, Pengendalian dan Pengembangan Umum</t>
  </si>
  <si>
    <t xml:space="preserve">Tim Perencanaan &amp; Pengendalian Pengembangan Usaha_x000D_
</t>
  </si>
  <si>
    <t>Tim Perencanaan dan Pengendalian Produksi dan penyiaran Program</t>
  </si>
  <si>
    <t>Tim Perencanaan dan Pengendalian Produksi dan Penyiaran Program</t>
  </si>
  <si>
    <t>Tim Perencanaan dan Penyiaran Program</t>
  </si>
  <si>
    <t>Tim Produksi dan Penyiaran Berita</t>
  </si>
  <si>
    <t>Tim Teknik Transmisi &amp; Multiplexing</t>
  </si>
  <si>
    <t>Tim Transmisi &amp; Multipleksing</t>
  </si>
  <si>
    <t>Tim Umum dan SDM</t>
  </si>
  <si>
    <t>teknik</t>
  </si>
  <si>
    <t>Tim Dokumentasi Kepustakaan</t>
  </si>
  <si>
    <t>Tim keuangan</t>
  </si>
  <si>
    <t>Tim Konten Media Baru</t>
  </si>
  <si>
    <t>Tim Pengembang Usaha</t>
  </si>
  <si>
    <t>Tim perencana dan pengendalian anggaran</t>
  </si>
  <si>
    <t>Tim Perencanaan dan Pengendalian Pengembang Usaha</t>
  </si>
  <si>
    <t>Tim Teknik Transmisi dan Multipleksing</t>
  </si>
  <si>
    <t>KKP umum dan SDM</t>
  </si>
  <si>
    <t>KMB</t>
  </si>
  <si>
    <t>Sekretariat</t>
  </si>
  <si>
    <t>Tim Dokumentasi dan Perpustakaan</t>
  </si>
  <si>
    <t>Tim Pengembangan Usaha</t>
  </si>
  <si>
    <t>Tim Pengendalian dan Perencanaan Promo</t>
  </si>
  <si>
    <t>Tim Perencana dan Pengendalian Pengembangan Usaha</t>
  </si>
  <si>
    <t>Tim Perencana dan Pengendalian Promo</t>
  </si>
  <si>
    <t>Tim Perencana, Pengendalian dan Pengambangan Umum</t>
  </si>
  <si>
    <t>Tim Perencana, Pengendalian dan Pengmbangan Teknik</t>
  </si>
  <si>
    <t>Tim Transmisi dan Multipleksing</t>
  </si>
  <si>
    <t>tim umum dan sdm</t>
  </si>
  <si>
    <t>HUMAS</t>
  </si>
  <si>
    <t>KKP Berita</t>
  </si>
  <si>
    <t>Pengelola BMN dan Perlengkapan</t>
  </si>
  <si>
    <t>Pengelola SDM</t>
  </si>
  <si>
    <t>Tim Berita Berkala</t>
  </si>
  <si>
    <t>Tim Monev dan Pelaporan Penyiaran Berita</t>
  </si>
  <si>
    <t xml:space="preserve">Tim Pelaksana Kerja Produk &amp; Penyiaran Berita Berkala_x000D_
</t>
  </si>
  <si>
    <t>Tim Pelaksana Kinerja Produksi &amp; Penyiaran Berita Harian</t>
  </si>
  <si>
    <t>Tim Pelaksana Kinerja Produksi dan Penyiaran Berita Berkala</t>
  </si>
  <si>
    <t>Tim Pengelola BMN dan Peralatan</t>
  </si>
  <si>
    <t xml:space="preserve">Tim Pengelola Pengadaan Barang dan Jasa_x000D_
</t>
  </si>
  <si>
    <t xml:space="preserve">Tim Pengelola Pengadaan Barang/jasa_x000D_
</t>
  </si>
  <si>
    <t>Tim pengelola SDM dan RB</t>
  </si>
  <si>
    <t>Tim Perencana dan Pengendalian Pemgembangan Usaha</t>
  </si>
  <si>
    <t>Tim Perencana dan Pengendalian Umum</t>
  </si>
  <si>
    <t>Tim Perencanaan dan Pengembangan Umum</t>
  </si>
  <si>
    <t>Tim Perencanaan dan Pengendalian dan Produksi Pengendalian Produksi &amp; Penyiaran Program</t>
  </si>
  <si>
    <t xml:space="preserve">Tim Perencanaan dan Pengendalian Produksi &amp; Penyiaran Program _x000D_
</t>
  </si>
  <si>
    <t xml:space="preserve">Tim Perencanaan dan Pengendalian Produksi &amp; Penyiaran Program_x000D_
</t>
  </si>
  <si>
    <t xml:space="preserve">Tim Perencanaan dan Pengendalian Produksi &amp; Penyiaran Program_x000D_
_x000D_
</t>
  </si>
  <si>
    <t xml:space="preserve">Tim Perencanaan dan Pengendalian Produksi dan Penyiaran Program_x000D_
</t>
  </si>
  <si>
    <t>Tim Perencanaan, Pengendalian, dan Pengembangan Umum</t>
  </si>
  <si>
    <t>Tim Produksi &amp; Penyiaan Berita Berkala</t>
  </si>
  <si>
    <t xml:space="preserve">Tim Produksi &amp; Penyiaan Berita Berkala_x000D_
</t>
  </si>
  <si>
    <t>Tim Produksi &amp; Penyiaan Berita Harian</t>
  </si>
  <si>
    <t>Tim Produksi &amp; Penyiaran Berita Berkala</t>
  </si>
  <si>
    <t xml:space="preserve">Tim Produksi &amp; Penyiaran Berita Berkala_x000D_
</t>
  </si>
  <si>
    <t>Tim Produksi dan Penyiaran Berita Berkala</t>
  </si>
  <si>
    <t>Tim Produksi dan penyiaran program</t>
  </si>
  <si>
    <t>Tim Teknik Transmisi dan Multiplexing</t>
  </si>
  <si>
    <t>Tim umum</t>
  </si>
  <si>
    <t xml:space="preserve">Tim Perencana dan Pengendalian Pengembangan Usaha_x000D_
</t>
  </si>
  <si>
    <t>Tim Produksi &amp; Penyiaan Berita</t>
  </si>
  <si>
    <t>Tim Produksi &amp; Penyiaran Berita</t>
  </si>
  <si>
    <t>Tim Produksi &amp; Penyiaran Teknik</t>
  </si>
  <si>
    <t>Katim PP Berita</t>
  </si>
  <si>
    <t>Kepala Stasiun</t>
  </si>
  <si>
    <t>Pengembangan Usaha</t>
  </si>
  <si>
    <t>Tim Dokumentasi dan Pustaka</t>
  </si>
  <si>
    <t>Tim Pelakasana Kinerja Produksi &amp; Penyiaran Berita Harian</t>
  </si>
  <si>
    <t>Tim Pelaksana Kinerja Produksi dan Penyiaran Berita</t>
  </si>
  <si>
    <t>Tim Pelaksana Kinerja Produksi dan Penyiaran Berita Harian</t>
  </si>
  <si>
    <t>Tim Pelaksana Produksi dan Penyiaran Berita Berkala</t>
  </si>
  <si>
    <t>Tim Pelaksana Produksi dan Penyiaran Berita Harian</t>
  </si>
  <si>
    <t>Tim Pengelola Barang dan Jasa</t>
  </si>
  <si>
    <t>Tim Perencana, Pengendalian dan Anggaran</t>
  </si>
  <si>
    <t>Tim Perencanaan dan Pengendalian Program</t>
  </si>
  <si>
    <t>Tim Perencanaan dan Pengendalian Umum</t>
  </si>
  <si>
    <t>Tim Perencanaan dan Perencanaan dan Pengendalian Produksi dan Penyiaran Program</t>
  </si>
  <si>
    <t>Tim Perencanaan, Pengendalian dan Anggaran</t>
  </si>
  <si>
    <t>Tim Perencanaan, Pengendalian dan Pengembangan Umum</t>
  </si>
  <si>
    <t>Tim Produksi &amp; Penyiaran Berita Harian</t>
  </si>
  <si>
    <t xml:space="preserve">Tim Produksi dan Penyiaran Berita Berkala_x000D_
</t>
  </si>
  <si>
    <t>Tim Umum</t>
  </si>
  <si>
    <t>Arsiparis</t>
  </si>
  <si>
    <t>Kepsta</t>
  </si>
  <si>
    <t>Ketua Tim Perencanaan dan Pengendalian Promo</t>
  </si>
  <si>
    <t>Pengelola BMN dan _x000D_
			   Perlengkapan</t>
  </si>
  <si>
    <t>Staf TU Arsiparis</t>
  </si>
  <si>
    <t>Tim BMN dan Perlengkapan</t>
  </si>
  <si>
    <t>Tim Pelaksana 	  Produksi &amp; Penyiaran Berita Harian</t>
  </si>
  <si>
    <t>Tim Perencanaan dan Pengembangan Usaha</t>
  </si>
  <si>
    <t>Tim Perencanaan dan Pengendalian Konten Media _x000D_
  Baru</t>
  </si>
  <si>
    <t>Tim Perencanaan dan Pengendalian Produksi &amp; Penyiaran _x000D_
Program</t>
  </si>
  <si>
    <t>Tim Perencanaan dan Pengendalian Produksi &amp; Penyiaran Promo</t>
  </si>
  <si>
    <t>Tim Perencanaan Pengendalian Konten Media Baru</t>
  </si>
  <si>
    <t>Tim Produksi dan Penyiaran Program</t>
  </si>
  <si>
    <t>Tim Teknik Transmisi dan Penyiaran</t>
  </si>
  <si>
    <t>TU/SEKRE</t>
  </si>
  <si>
    <t>Pengelola Pengadaan Barang dan Jasa</t>
  </si>
  <si>
    <t>Tim Pelaksana  Produksi dan Penyiaran Berita Berkala</t>
  </si>
  <si>
    <t>Tim Pengadaan  Barang dan Jasa</t>
  </si>
  <si>
    <t>Tim Pengelola BMN dan  Perlengkapan</t>
  </si>
  <si>
    <t>Tim Pengelola Pengadaan Barang/Jasa</t>
  </si>
  <si>
    <t>Tim Percanaan dan Pengendalian Anggaran</t>
  </si>
  <si>
    <t>Tim Perencana Pengendalian Dan Pengembangan Umum</t>
  </si>
  <si>
    <t>Tim Perencanaan dan Penendalian Umum</t>
  </si>
  <si>
    <t>Tim Perencanaan dan Pengendalian Produksi &amp;      Penyiaran Program</t>
  </si>
  <si>
    <t>Tim Perencanaan dan Pengendalian Produksi &amp; Penyiaran</t>
  </si>
  <si>
    <t>Tim Perencanaan dan Pengendalian Produksi &amp; Penyiaran  Program</t>
  </si>
  <si>
    <t>Tim Perencanaan dan Pengendalian Produksi &amp; Penyiaran Konten Media Baru</t>
  </si>
  <si>
    <t>Tim perencanaan, pengendalian dan pengembangan umum</t>
  </si>
  <si>
    <t>Tim Produksi &amp; Penyiaran Program</t>
  </si>
  <si>
    <t>Tim Produksi dan Penyiaran Berita  Berkala</t>
  </si>
  <si>
    <t>Tim Produksi dan Penyiaran Berita  Harian</t>
  </si>
  <si>
    <t>Tim teknik dan Multiplexing</t>
  </si>
  <si>
    <t>humas</t>
  </si>
  <si>
    <t>Kepala Tim Perencana dan Pengendalian Berita</t>
  </si>
  <si>
    <t>Ketua Tim Perencana, Pengendalian dan Anggaran</t>
  </si>
  <si>
    <t>Pengelola Pengadaan Barang / Jasa</t>
  </si>
  <si>
    <t>Pengelola Pengadaan Barang/Jasa</t>
  </si>
  <si>
    <t>Tim Pengelola Materi Audio Visual Dokpus</t>
  </si>
  <si>
    <t>Tim Pengelola RB &amp; SDM</t>
  </si>
  <si>
    <t>Tim Perencanaan &amp; Pengendalian Produksi dan Penyiaran Program</t>
  </si>
  <si>
    <t>Tim Perencanaan dan Penendalian Anggaran</t>
  </si>
  <si>
    <t>Tim Perencanaan dan pengembangan Usaha</t>
  </si>
  <si>
    <t>Tim Perencanaan dan Pengendalian Produksi dan Penyiaran Berita</t>
  </si>
  <si>
    <t>Tim Perencanaan dan Pengendalian Promo dan KMB</t>
  </si>
  <si>
    <t>Tim Perencanaan dan Pengendalian PU</t>
  </si>
  <si>
    <t>Tim Perencanaan Produksi &amp; Penyiaran Berita</t>
  </si>
  <si>
    <t>Tim PP Pengembangan Usaha</t>
  </si>
  <si>
    <t>Total</t>
  </si>
  <si>
    <t>Surat Masuk Tim</t>
  </si>
  <si>
    <t>Rekap Jumlah Surat masuk Internal</t>
  </si>
  <si>
    <t>Jumlah Surat Masuk Tim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</si>
  <si>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</si>
  <si>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</si>
  <si>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</si>
  <si>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</si>
  <si>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</si>
  <si>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</si>
  <si>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</si>
  <si>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</si>
  <si>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</si>
  <si>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</si>
  <si>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</si>
  <si>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</si>
  <si>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 xml:space="preserve">Tim Pengelola SDM dan RB </t>
  </si>
  <si>
    <t xml:space="preserve">Tim Perencanaan dan Pengendalian Promo </t>
  </si>
  <si>
    <t xml:space="preserve"> Tim Dokumentasi dan kepustakaan</t>
  </si>
  <si>
    <t>Total Sebenarnya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</si>
</sst>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Gotham Light"/>
    </font>
    <font>
      <sz val="11"/>
      <color theme="1"/>
      <name val="Gotham Light"/>
    </font>
    <font>
      <sz val="10"/>
      <color theme="1"/>
      <name val="Gotham Light"/>
      <charset val="134"/>
    </font>
    <font>
      <sz val="11"/>
      <color theme="1"/>
      <name val="Gotham Light"/>
      <charset val="134"/>
    </font>
  </fonts>
  <fills count="1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000B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/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vertical="center" wrapText="1"/>
    </xf>
    <xf numFmtId="0" fontId="4" fillId="13" borderId="1" xfId="0" applyFont="1" applyFill="1" applyBorder="1" applyAlignment="1">
      <alignment vertical="center"/>
    </xf>
    <xf numFmtId="0" fontId="4" fillId="14" borderId="1" xfId="0" applyFont="1" applyFill="1" applyBorder="1" applyAlignment="1">
      <alignment vertical="center" wrapText="1"/>
    </xf>
    <xf numFmtId="0" fontId="4" fillId="15" borderId="1" xfId="0" applyFont="1" applyFill="1" applyBorder="1" applyAlignment="1">
      <alignment vertical="center" wrapText="1"/>
    </xf>
    <xf numFmtId="0" fontId="4" fillId="16" borderId="1" xfId="0" applyFont="1" applyFill="1" applyBorder="1" applyAlignment="1">
      <alignment vertical="center"/>
    </xf>
    <xf numFmtId="0" fontId="5" fillId="17" borderId="1" xfId="0" applyFont="1" applyFill="1" applyBorder="1" applyAlignment="1">
      <alignment vertical="center"/>
    </xf>
    <xf numFmtId="0" fontId="6" fillId="0" borderId="1" xfId="0" applyFont="1" applyBorder="1"/>
    <xf numFmtId="0" fontId="0" fillId="0" borderId="1" xfId="0" applyBorder="1"/>
    <xf numFmtId="0" fontId="5" fillId="11" borderId="0" xfId="0" applyFont="1" applyFill="1" applyAlignment="1">
      <alignment vertical="center"/>
    </xf>
    <xf numFmtId="0" fontId="5" fillId="1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erjaan\Project%20Data%20Summarize\AGENDA%20SURAT%20TAHUN%202024%20BARU%20BANGET%20(2).xlsx" TargetMode="External"/><Relationship Id="rId1" Type="http://schemas.openxmlformats.org/officeDocument/2006/relationships/externalLinkPath" Target="AGENDA%20SURAT%20TAHUN%202024%20BARU%20BANGET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 Akhir"/>
      <sheetName val="Rekap Seluruhnya"/>
      <sheetName val="JANUARI"/>
      <sheetName val="FEBRUARI"/>
      <sheetName val="MARET"/>
      <sheetName val="MEI"/>
      <sheetName val="APRIL"/>
      <sheetName val="JUNI"/>
      <sheetName val="JULI"/>
      <sheetName val="AGUSTUS"/>
      <sheetName val="SEPTEMBER"/>
      <sheetName val="OKTOBER"/>
      <sheetName val="NOVEMBER"/>
      <sheetName val="DESEMBER"/>
    </sheetNames>
    <sheetDataSet>
      <sheetData sheetId="0" refreshError="1"/>
      <sheetData sheetId="1" refreshError="1"/>
      <sheetData sheetId="2">
        <row r="4">
          <cell r="J4">
            <v>56</v>
          </cell>
        </row>
        <row r="5">
          <cell r="J5">
            <v>2</v>
          </cell>
        </row>
        <row r="6">
          <cell r="J6">
            <v>37</v>
          </cell>
        </row>
        <row r="7">
          <cell r="J7">
            <v>13</v>
          </cell>
        </row>
        <row r="8">
          <cell r="J8">
            <v>17</v>
          </cell>
        </row>
        <row r="9">
          <cell r="J9">
            <v>0</v>
          </cell>
        </row>
        <row r="10">
          <cell r="J10">
            <v>3</v>
          </cell>
        </row>
        <row r="11">
          <cell r="J11">
            <v>0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1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</sheetData>
      <sheetData sheetId="3">
        <row r="4">
          <cell r="K4">
            <v>55</v>
          </cell>
        </row>
        <row r="5">
          <cell r="K5">
            <v>5</v>
          </cell>
        </row>
        <row r="6">
          <cell r="K6">
            <v>55</v>
          </cell>
        </row>
        <row r="7">
          <cell r="K7">
            <v>16</v>
          </cell>
        </row>
        <row r="8">
          <cell r="K8">
            <v>13</v>
          </cell>
        </row>
        <row r="9">
          <cell r="K9">
            <v>0</v>
          </cell>
        </row>
        <row r="10">
          <cell r="K10">
            <v>9</v>
          </cell>
        </row>
        <row r="11">
          <cell r="K11">
            <v>0</v>
          </cell>
        </row>
        <row r="12">
          <cell r="K12">
            <v>0</v>
          </cell>
        </row>
        <row r="13">
          <cell r="K13">
            <v>0</v>
          </cell>
        </row>
        <row r="14">
          <cell r="K14">
            <v>0</v>
          </cell>
        </row>
        <row r="15">
          <cell r="K15">
            <v>2</v>
          </cell>
        </row>
        <row r="16">
          <cell r="K16">
            <v>1</v>
          </cell>
        </row>
        <row r="17">
          <cell r="K17">
            <v>0</v>
          </cell>
        </row>
        <row r="18">
          <cell r="K18">
            <v>0</v>
          </cell>
        </row>
      </sheetData>
      <sheetData sheetId="4">
        <row r="4">
          <cell r="K4">
            <v>30</v>
          </cell>
        </row>
        <row r="5">
          <cell r="K5">
            <v>6</v>
          </cell>
        </row>
        <row r="6">
          <cell r="K6">
            <v>24</v>
          </cell>
        </row>
        <row r="7">
          <cell r="K7">
            <v>11</v>
          </cell>
        </row>
        <row r="8">
          <cell r="K8">
            <v>7</v>
          </cell>
        </row>
        <row r="9">
          <cell r="K9">
            <v>0</v>
          </cell>
        </row>
        <row r="10">
          <cell r="K10">
            <v>10</v>
          </cell>
        </row>
        <row r="11">
          <cell r="K11">
            <v>0</v>
          </cell>
        </row>
        <row r="12">
          <cell r="K12">
            <v>0</v>
          </cell>
        </row>
        <row r="13">
          <cell r="K13">
            <v>6</v>
          </cell>
        </row>
        <row r="14">
          <cell r="K14">
            <v>0</v>
          </cell>
        </row>
        <row r="15">
          <cell r="K15">
            <v>3</v>
          </cell>
        </row>
        <row r="16">
          <cell r="K16">
            <v>1</v>
          </cell>
        </row>
        <row r="17">
          <cell r="K17">
            <v>0</v>
          </cell>
        </row>
        <row r="18">
          <cell r="K18">
            <v>0</v>
          </cell>
        </row>
      </sheetData>
      <sheetData sheetId="5">
        <row r="4">
          <cell r="L4">
            <v>59</v>
          </cell>
        </row>
        <row r="5">
          <cell r="L5">
            <v>0</v>
          </cell>
        </row>
        <row r="6">
          <cell r="L6">
            <v>38</v>
          </cell>
        </row>
        <row r="7">
          <cell r="L7">
            <v>12</v>
          </cell>
        </row>
        <row r="8">
          <cell r="L8">
            <v>7</v>
          </cell>
        </row>
        <row r="9">
          <cell r="L9">
            <v>2</v>
          </cell>
        </row>
        <row r="10">
          <cell r="L10">
            <v>10</v>
          </cell>
        </row>
        <row r="11">
          <cell r="L11">
            <v>1</v>
          </cell>
        </row>
        <row r="12">
          <cell r="L12">
            <v>1</v>
          </cell>
        </row>
        <row r="13">
          <cell r="L13">
            <v>59</v>
          </cell>
        </row>
        <row r="14">
          <cell r="L14">
            <v>3</v>
          </cell>
        </row>
        <row r="15">
          <cell r="L15">
            <v>12</v>
          </cell>
        </row>
        <row r="16">
          <cell r="L16">
            <v>1</v>
          </cell>
        </row>
        <row r="17">
          <cell r="L17">
            <v>4</v>
          </cell>
        </row>
        <row r="18">
          <cell r="L18">
            <v>59</v>
          </cell>
        </row>
      </sheetData>
      <sheetData sheetId="6">
        <row r="5">
          <cell r="K5">
            <v>38</v>
          </cell>
        </row>
        <row r="6">
          <cell r="K6">
            <v>0</v>
          </cell>
        </row>
        <row r="7">
          <cell r="K7">
            <v>19</v>
          </cell>
        </row>
        <row r="8">
          <cell r="K8">
            <v>17</v>
          </cell>
        </row>
        <row r="9">
          <cell r="K9">
            <v>13</v>
          </cell>
        </row>
        <row r="10">
          <cell r="K10">
            <v>0</v>
          </cell>
        </row>
        <row r="11">
          <cell r="K11">
            <v>13</v>
          </cell>
        </row>
        <row r="12">
          <cell r="K12">
            <v>6</v>
          </cell>
        </row>
        <row r="13">
          <cell r="K13">
            <v>6</v>
          </cell>
        </row>
        <row r="14">
          <cell r="K14">
            <v>38</v>
          </cell>
        </row>
        <row r="15">
          <cell r="K15">
            <v>0</v>
          </cell>
        </row>
        <row r="16">
          <cell r="K16">
            <v>17</v>
          </cell>
        </row>
        <row r="17">
          <cell r="K17">
            <v>1</v>
          </cell>
        </row>
        <row r="18">
          <cell r="K18">
            <v>2</v>
          </cell>
        </row>
        <row r="19">
          <cell r="K19">
            <v>38</v>
          </cell>
        </row>
      </sheetData>
      <sheetData sheetId="7">
        <row r="4">
          <cell r="J4">
            <v>59</v>
          </cell>
        </row>
        <row r="5">
          <cell r="J5">
            <v>11</v>
          </cell>
        </row>
        <row r="6">
          <cell r="J6">
            <v>31</v>
          </cell>
        </row>
        <row r="7">
          <cell r="J7">
            <v>15</v>
          </cell>
        </row>
        <row r="8">
          <cell r="J8">
            <v>13</v>
          </cell>
        </row>
        <row r="9">
          <cell r="J9">
            <v>4</v>
          </cell>
        </row>
        <row r="10">
          <cell r="J10">
            <v>9</v>
          </cell>
        </row>
        <row r="11">
          <cell r="J11">
            <v>4</v>
          </cell>
        </row>
        <row r="12">
          <cell r="J12">
            <v>4</v>
          </cell>
        </row>
        <row r="13">
          <cell r="J13">
            <v>59</v>
          </cell>
        </row>
        <row r="14">
          <cell r="J14">
            <v>2</v>
          </cell>
        </row>
        <row r="15">
          <cell r="J15">
            <v>15</v>
          </cell>
        </row>
        <row r="16">
          <cell r="J16">
            <v>3</v>
          </cell>
        </row>
        <row r="17">
          <cell r="J17">
            <v>3</v>
          </cell>
        </row>
        <row r="18">
          <cell r="J18">
            <v>59</v>
          </cell>
        </row>
      </sheetData>
      <sheetData sheetId="8">
        <row r="4">
          <cell r="J4">
            <v>50</v>
          </cell>
        </row>
        <row r="5">
          <cell r="J5">
            <v>6</v>
          </cell>
        </row>
        <row r="6">
          <cell r="J6">
            <v>43</v>
          </cell>
        </row>
        <row r="7">
          <cell r="J7">
            <v>24</v>
          </cell>
        </row>
        <row r="8">
          <cell r="J8">
            <v>5</v>
          </cell>
        </row>
        <row r="9">
          <cell r="J9">
            <v>4</v>
          </cell>
        </row>
        <row r="10">
          <cell r="J10">
            <v>12</v>
          </cell>
        </row>
        <row r="11">
          <cell r="J11">
            <v>10</v>
          </cell>
        </row>
        <row r="12">
          <cell r="J12">
            <v>10</v>
          </cell>
        </row>
        <row r="13">
          <cell r="J13">
            <v>50</v>
          </cell>
        </row>
        <row r="14">
          <cell r="J14">
            <v>2</v>
          </cell>
        </row>
        <row r="15">
          <cell r="J15">
            <v>24</v>
          </cell>
        </row>
        <row r="16">
          <cell r="J16">
            <v>4</v>
          </cell>
        </row>
        <row r="17">
          <cell r="J17">
            <v>0</v>
          </cell>
        </row>
        <row r="18">
          <cell r="J18">
            <v>50</v>
          </cell>
        </row>
      </sheetData>
      <sheetData sheetId="9">
        <row r="15">
          <cell r="M15">
            <v>36</v>
          </cell>
        </row>
        <row r="16">
          <cell r="M16">
            <v>8</v>
          </cell>
        </row>
        <row r="17">
          <cell r="M17">
            <v>24</v>
          </cell>
        </row>
        <row r="18">
          <cell r="M18">
            <v>28</v>
          </cell>
        </row>
        <row r="19">
          <cell r="M19">
            <v>6</v>
          </cell>
        </row>
        <row r="20">
          <cell r="M20">
            <v>6</v>
          </cell>
        </row>
        <row r="21">
          <cell r="M21">
            <v>14</v>
          </cell>
        </row>
        <row r="22">
          <cell r="M22">
            <v>10</v>
          </cell>
        </row>
        <row r="23">
          <cell r="M23">
            <v>10</v>
          </cell>
        </row>
        <row r="24">
          <cell r="M24">
            <v>36</v>
          </cell>
        </row>
        <row r="25">
          <cell r="M25">
            <v>0</v>
          </cell>
        </row>
        <row r="26">
          <cell r="M26">
            <v>28</v>
          </cell>
        </row>
        <row r="27">
          <cell r="M27">
            <v>2</v>
          </cell>
        </row>
        <row r="28">
          <cell r="M28">
            <v>1</v>
          </cell>
        </row>
        <row r="29">
          <cell r="M29">
            <v>36</v>
          </cell>
        </row>
      </sheetData>
      <sheetData sheetId="10">
        <row r="4">
          <cell r="J4">
            <v>51</v>
          </cell>
        </row>
        <row r="5">
          <cell r="J5">
            <v>7</v>
          </cell>
        </row>
        <row r="6">
          <cell r="J6">
            <v>39</v>
          </cell>
        </row>
        <row r="7">
          <cell r="J7">
            <v>26</v>
          </cell>
        </row>
        <row r="8">
          <cell r="J8">
            <v>9</v>
          </cell>
        </row>
        <row r="9">
          <cell r="J9">
            <v>6</v>
          </cell>
        </row>
        <row r="10">
          <cell r="J10">
            <v>6</v>
          </cell>
        </row>
        <row r="11">
          <cell r="J11">
            <v>3</v>
          </cell>
        </row>
        <row r="12">
          <cell r="J12">
            <v>3</v>
          </cell>
        </row>
        <row r="13">
          <cell r="J13">
            <v>51</v>
          </cell>
        </row>
        <row r="14">
          <cell r="J14">
            <v>0</v>
          </cell>
        </row>
        <row r="15">
          <cell r="J15">
            <v>26</v>
          </cell>
        </row>
        <row r="16">
          <cell r="J16">
            <v>4</v>
          </cell>
        </row>
        <row r="17">
          <cell r="J17">
            <v>1</v>
          </cell>
        </row>
        <row r="18">
          <cell r="J18">
            <v>51</v>
          </cell>
        </row>
      </sheetData>
      <sheetData sheetId="11">
        <row r="99">
          <cell r="L99">
            <v>51</v>
          </cell>
        </row>
        <row r="100">
          <cell r="L100">
            <v>10</v>
          </cell>
        </row>
        <row r="101">
          <cell r="L101">
            <v>28</v>
          </cell>
        </row>
        <row r="102">
          <cell r="L102">
            <v>23</v>
          </cell>
        </row>
        <row r="103">
          <cell r="L103">
            <v>15</v>
          </cell>
        </row>
        <row r="104">
          <cell r="L104">
            <v>2</v>
          </cell>
        </row>
        <row r="105">
          <cell r="L105">
            <v>15</v>
          </cell>
        </row>
        <row r="106">
          <cell r="L106">
            <v>4</v>
          </cell>
        </row>
        <row r="107">
          <cell r="L107">
            <v>4</v>
          </cell>
        </row>
        <row r="108">
          <cell r="L108">
            <v>51</v>
          </cell>
        </row>
        <row r="109">
          <cell r="L109">
            <v>4</v>
          </cell>
        </row>
        <row r="110">
          <cell r="L110">
            <v>23</v>
          </cell>
        </row>
        <row r="111">
          <cell r="L111">
            <v>10</v>
          </cell>
        </row>
        <row r="112">
          <cell r="L112">
            <v>0</v>
          </cell>
        </row>
        <row r="113">
          <cell r="L113">
            <v>51</v>
          </cell>
        </row>
      </sheetData>
      <sheetData sheetId="12">
        <row r="5">
          <cell r="L5">
            <v>54</v>
          </cell>
        </row>
        <row r="6">
          <cell r="L6">
            <v>4</v>
          </cell>
        </row>
        <row r="7">
          <cell r="L7">
            <v>24</v>
          </cell>
        </row>
        <row r="8">
          <cell r="L8">
            <v>33</v>
          </cell>
        </row>
        <row r="9">
          <cell r="L9">
            <v>16</v>
          </cell>
        </row>
        <row r="10">
          <cell r="L10">
            <v>4</v>
          </cell>
        </row>
        <row r="11">
          <cell r="L11">
            <v>6</v>
          </cell>
        </row>
        <row r="12">
          <cell r="L12">
            <v>17</v>
          </cell>
        </row>
        <row r="13">
          <cell r="L13">
            <v>17</v>
          </cell>
        </row>
        <row r="14">
          <cell r="L14">
            <v>54</v>
          </cell>
        </row>
        <row r="15">
          <cell r="L15">
            <v>2</v>
          </cell>
        </row>
        <row r="16">
          <cell r="L16">
            <v>33</v>
          </cell>
        </row>
        <row r="17">
          <cell r="L17">
            <v>2</v>
          </cell>
        </row>
        <row r="18">
          <cell r="L18">
            <v>0</v>
          </cell>
        </row>
        <row r="19">
          <cell r="L19">
            <v>54</v>
          </cell>
        </row>
      </sheetData>
      <sheetData sheetId="13">
        <row r="5">
          <cell r="K5">
            <v>49</v>
          </cell>
        </row>
        <row r="6">
          <cell r="K6">
            <v>11</v>
          </cell>
        </row>
        <row r="7">
          <cell r="K7">
            <v>38</v>
          </cell>
        </row>
        <row r="8">
          <cell r="K8">
            <v>32</v>
          </cell>
        </row>
        <row r="9">
          <cell r="K9">
            <v>7</v>
          </cell>
        </row>
        <row r="10">
          <cell r="K10">
            <v>4</v>
          </cell>
        </row>
        <row r="11">
          <cell r="K11">
            <v>12</v>
          </cell>
        </row>
        <row r="12">
          <cell r="K12">
            <v>6</v>
          </cell>
        </row>
        <row r="13">
          <cell r="K13">
            <v>6</v>
          </cell>
        </row>
        <row r="14">
          <cell r="K14">
            <v>49</v>
          </cell>
        </row>
        <row r="15">
          <cell r="K15">
            <v>3</v>
          </cell>
        </row>
        <row r="16">
          <cell r="K16">
            <v>32</v>
          </cell>
        </row>
        <row r="17">
          <cell r="K17">
            <v>3</v>
          </cell>
        </row>
        <row r="18">
          <cell r="K18">
            <v>1</v>
          </cell>
        </row>
        <row r="19">
          <cell r="K19">
            <v>49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3"/>
  <sheetViews>
    <sheetView topLeftCell="D1" workbookViewId="0">
      <selection activeCell="A9" sqref="A1:M183"/>
    </sheetView>
  </sheetViews>
  <sheetFormatPr defaultRowHeight="14.5"/>
  <cols>
    <col min="1" max="1" width="80.6328125" bestFit="1" customWidth="1"/>
    <col min="2" max="2" width="8" bestFit="1" customWidth="1"/>
    <col min="3" max="3" width="9" bestFit="1" customWidth="1"/>
    <col min="4" max="4" width="6.81640625" bestFit="1" customWidth="1"/>
    <col min="5" max="5" width="5.54296875" bestFit="1" customWidth="1"/>
    <col min="6" max="6" width="4.08984375" bestFit="1" customWidth="1"/>
    <col min="7" max="7" width="4.54296875" bestFit="1" customWidth="1"/>
    <col min="8" max="8" width="4.08984375" bestFit="1" customWidth="1"/>
    <col min="9" max="9" width="8.6328125" bestFit="1" customWidth="1"/>
    <col min="10" max="10" width="10.7265625" bestFit="1" customWidth="1"/>
    <col min="11" max="11" width="8.81640625" bestFit="1" customWidth="1"/>
    <col min="12" max="12" width="10.54296875" bestFit="1" customWidth="1"/>
    <col min="13" max="13" width="9.90625" bestFit="1" customWidth="1"/>
  </cols>
  <sheetData>
    <row r="1" spans="1:13" s="1" customFormat="1">
      <c r="A1" s="1" t="s">
        <v>194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26" t="s">
        <v>12</v>
      </c>
      <c r="B2">
        <v>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27" t="s">
        <v>13</v>
      </c>
      <c r="B3">
        <v>2</v>
      </c>
      <c r="C3">
        <v>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15</v>
      </c>
      <c r="B5">
        <v>29</v>
      </c>
      <c r="C5">
        <v>51</v>
      </c>
      <c r="D5">
        <v>11</v>
      </c>
      <c r="E5">
        <v>10</v>
      </c>
      <c r="F5">
        <v>46</v>
      </c>
      <c r="G5">
        <v>47</v>
      </c>
      <c r="H5">
        <v>8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16</v>
      </c>
      <c r="B6">
        <v>7</v>
      </c>
      <c r="C6">
        <v>0</v>
      </c>
      <c r="D6">
        <v>5</v>
      </c>
      <c r="E6">
        <v>0</v>
      </c>
      <c r="F6">
        <v>0</v>
      </c>
      <c r="G6">
        <v>0</v>
      </c>
      <c r="H6">
        <v>18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17</v>
      </c>
      <c r="B7">
        <v>3</v>
      </c>
      <c r="C7">
        <v>0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18</v>
      </c>
      <c r="B8">
        <v>10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</v>
      </c>
      <c r="K8">
        <v>2</v>
      </c>
      <c r="L8">
        <v>0</v>
      </c>
      <c r="M8">
        <v>0</v>
      </c>
    </row>
    <row r="9" spans="1:13">
      <c r="A9" t="s">
        <v>19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</v>
      </c>
      <c r="L9">
        <v>10</v>
      </c>
      <c r="M9">
        <v>4</v>
      </c>
    </row>
    <row r="10" spans="1:13">
      <c r="A10" t="s">
        <v>20</v>
      </c>
      <c r="B10">
        <v>29</v>
      </c>
      <c r="C10">
        <v>50</v>
      </c>
      <c r="D10">
        <v>38</v>
      </c>
      <c r="E10">
        <v>51</v>
      </c>
      <c r="F10">
        <v>46</v>
      </c>
      <c r="G10">
        <v>27</v>
      </c>
      <c r="H10">
        <v>31</v>
      </c>
      <c r="I10">
        <v>42</v>
      </c>
      <c r="J10">
        <v>12</v>
      </c>
      <c r="K10">
        <v>35</v>
      </c>
      <c r="L10">
        <v>12</v>
      </c>
      <c r="M10">
        <v>16</v>
      </c>
    </row>
    <row r="11" spans="1:13">
      <c r="A11" t="s">
        <v>21</v>
      </c>
      <c r="B11">
        <v>1</v>
      </c>
      <c r="C11">
        <v>7</v>
      </c>
      <c r="D11">
        <v>9</v>
      </c>
      <c r="E11">
        <v>9</v>
      </c>
      <c r="F11">
        <v>12</v>
      </c>
      <c r="G11">
        <v>6</v>
      </c>
      <c r="H11">
        <v>7</v>
      </c>
      <c r="I11">
        <v>10</v>
      </c>
      <c r="J11">
        <v>0</v>
      </c>
      <c r="K11">
        <v>2</v>
      </c>
      <c r="L11">
        <v>3</v>
      </c>
      <c r="M11">
        <v>3</v>
      </c>
    </row>
    <row r="12" spans="1:13">
      <c r="A12" t="s">
        <v>22</v>
      </c>
      <c r="B12">
        <v>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</v>
      </c>
      <c r="J12">
        <v>5</v>
      </c>
      <c r="K12">
        <v>10</v>
      </c>
      <c r="L12">
        <v>2</v>
      </c>
      <c r="M12">
        <v>4</v>
      </c>
    </row>
    <row r="13" spans="1:13">
      <c r="A13" t="s">
        <v>23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24</v>
      </c>
      <c r="B14">
        <v>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25</v>
      </c>
      <c r="B15">
        <v>5</v>
      </c>
      <c r="C15">
        <v>0</v>
      </c>
      <c r="D15">
        <v>4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8</v>
      </c>
      <c r="L15">
        <v>2</v>
      </c>
      <c r="M15">
        <v>0</v>
      </c>
    </row>
    <row r="16" spans="1:13">
      <c r="A16" t="s">
        <v>26</v>
      </c>
      <c r="B16">
        <v>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27</v>
      </c>
      <c r="B17">
        <v>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28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2</v>
      </c>
      <c r="I18">
        <v>0</v>
      </c>
      <c r="J18">
        <v>11</v>
      </c>
      <c r="K18">
        <v>2</v>
      </c>
      <c r="L18">
        <v>30</v>
      </c>
      <c r="M18">
        <v>9</v>
      </c>
    </row>
    <row r="19" spans="1:13">
      <c r="A19" t="s">
        <v>29</v>
      </c>
      <c r="B19">
        <v>37</v>
      </c>
      <c r="C19">
        <v>55</v>
      </c>
      <c r="D19">
        <v>13</v>
      </c>
      <c r="E19">
        <v>0</v>
      </c>
      <c r="F19">
        <v>5</v>
      </c>
      <c r="G19">
        <v>0</v>
      </c>
      <c r="H19">
        <v>0</v>
      </c>
      <c r="I19">
        <v>0</v>
      </c>
      <c r="J19">
        <v>0</v>
      </c>
      <c r="K19">
        <v>11</v>
      </c>
      <c r="L19">
        <v>14</v>
      </c>
      <c r="M19">
        <v>34</v>
      </c>
    </row>
    <row r="20" spans="1:13">
      <c r="A20" t="s">
        <v>30</v>
      </c>
      <c r="B20">
        <v>1</v>
      </c>
      <c r="C20">
        <v>0</v>
      </c>
      <c r="D20">
        <v>0</v>
      </c>
      <c r="E20">
        <v>0</v>
      </c>
      <c r="F20">
        <v>3</v>
      </c>
      <c r="G20">
        <v>0</v>
      </c>
      <c r="H20">
        <v>1</v>
      </c>
      <c r="I20">
        <v>0</v>
      </c>
      <c r="J20">
        <v>0</v>
      </c>
      <c r="K20">
        <v>2</v>
      </c>
      <c r="L20">
        <v>2</v>
      </c>
      <c r="M20">
        <v>2</v>
      </c>
    </row>
    <row r="21" spans="1:13">
      <c r="A21" t="s">
        <v>31</v>
      </c>
      <c r="B21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32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33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34</v>
      </c>
      <c r="B24">
        <v>0</v>
      </c>
      <c r="C24">
        <v>13</v>
      </c>
      <c r="D24">
        <v>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35</v>
      </c>
      <c r="B25">
        <v>0</v>
      </c>
      <c r="C25">
        <v>1</v>
      </c>
      <c r="D25">
        <v>0</v>
      </c>
      <c r="E25">
        <v>1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36</v>
      </c>
      <c r="B26">
        <v>0</v>
      </c>
      <c r="C26">
        <v>1</v>
      </c>
      <c r="D26">
        <v>4</v>
      </c>
      <c r="E26">
        <v>3</v>
      </c>
      <c r="F26">
        <v>3</v>
      </c>
      <c r="G26">
        <v>11</v>
      </c>
      <c r="H26">
        <v>6</v>
      </c>
      <c r="I26">
        <v>8</v>
      </c>
      <c r="J26">
        <v>3</v>
      </c>
      <c r="K26">
        <v>9</v>
      </c>
      <c r="L26">
        <v>1</v>
      </c>
      <c r="M26">
        <v>6</v>
      </c>
    </row>
    <row r="27" spans="1:13">
      <c r="A27" t="s">
        <v>37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3</v>
      </c>
      <c r="I27">
        <v>0</v>
      </c>
      <c r="J27">
        <v>4</v>
      </c>
      <c r="K27">
        <v>2</v>
      </c>
      <c r="L27">
        <v>1</v>
      </c>
      <c r="M27">
        <v>3</v>
      </c>
    </row>
    <row r="28" spans="1:13">
      <c r="A28" t="s">
        <v>38</v>
      </c>
      <c r="B28">
        <v>0</v>
      </c>
      <c r="C28">
        <v>3</v>
      </c>
      <c r="D28">
        <v>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39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40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>
        <v>0</v>
      </c>
      <c r="M30">
        <v>0</v>
      </c>
    </row>
    <row r="31" spans="1:13">
      <c r="A31" t="s">
        <v>41</v>
      </c>
      <c r="B31">
        <v>0</v>
      </c>
      <c r="C31">
        <v>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42</v>
      </c>
      <c r="B32">
        <v>0</v>
      </c>
      <c r="C32">
        <v>4</v>
      </c>
      <c r="D32">
        <v>9</v>
      </c>
      <c r="E32">
        <v>6</v>
      </c>
      <c r="F32">
        <v>5</v>
      </c>
      <c r="G32">
        <v>6</v>
      </c>
      <c r="H32">
        <v>5</v>
      </c>
      <c r="I32">
        <v>4</v>
      </c>
      <c r="J32">
        <v>9</v>
      </c>
      <c r="K32">
        <v>13</v>
      </c>
      <c r="L32">
        <v>14</v>
      </c>
      <c r="M32">
        <v>6</v>
      </c>
    </row>
    <row r="33" spans="1:13">
      <c r="A33" t="s">
        <v>43</v>
      </c>
      <c r="B33">
        <v>0</v>
      </c>
      <c r="C33">
        <v>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3</v>
      </c>
    </row>
    <row r="34" spans="1:13">
      <c r="A34" t="s">
        <v>44</v>
      </c>
      <c r="B34">
        <v>0</v>
      </c>
      <c r="C34">
        <v>0</v>
      </c>
      <c r="D34">
        <v>5</v>
      </c>
      <c r="E34">
        <v>1</v>
      </c>
      <c r="F34">
        <v>12</v>
      </c>
      <c r="G34">
        <v>11</v>
      </c>
      <c r="H34">
        <v>2</v>
      </c>
      <c r="I34">
        <v>3</v>
      </c>
      <c r="J34">
        <v>1</v>
      </c>
      <c r="K34">
        <v>1</v>
      </c>
      <c r="L34">
        <v>0</v>
      </c>
      <c r="M34">
        <v>3</v>
      </c>
    </row>
    <row r="35" spans="1:13">
      <c r="A35" t="s">
        <v>45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46</v>
      </c>
      <c r="B36">
        <v>0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</row>
    <row r="37" spans="1:13">
      <c r="A37" t="s">
        <v>47</v>
      </c>
      <c r="B37">
        <v>0</v>
      </c>
      <c r="C37">
        <v>0</v>
      </c>
      <c r="D37">
        <v>3</v>
      </c>
      <c r="E37">
        <v>7</v>
      </c>
      <c r="F37">
        <v>2</v>
      </c>
      <c r="G37">
        <v>4</v>
      </c>
      <c r="H37">
        <v>7</v>
      </c>
      <c r="I37">
        <v>8</v>
      </c>
      <c r="J37">
        <v>12</v>
      </c>
      <c r="K37">
        <v>3</v>
      </c>
      <c r="L37">
        <v>0</v>
      </c>
      <c r="M37">
        <v>12</v>
      </c>
    </row>
    <row r="38" spans="1:13">
      <c r="A38" t="s">
        <v>48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</v>
      </c>
    </row>
    <row r="39" spans="1:13">
      <c r="A39" t="s">
        <v>49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50</v>
      </c>
      <c r="B40">
        <v>0</v>
      </c>
      <c r="C40">
        <v>0</v>
      </c>
      <c r="D40">
        <v>10</v>
      </c>
      <c r="E40">
        <v>14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51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</row>
    <row r="42" spans="1:13">
      <c r="A42" t="s">
        <v>52</v>
      </c>
      <c r="B42">
        <v>0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</v>
      </c>
    </row>
    <row r="43" spans="1:13">
      <c r="A43" t="s">
        <v>53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54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55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56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57</v>
      </c>
      <c r="B47">
        <v>0</v>
      </c>
      <c r="C47">
        <v>0</v>
      </c>
      <c r="D47">
        <v>0</v>
      </c>
      <c r="E47">
        <v>4</v>
      </c>
      <c r="F47">
        <v>15</v>
      </c>
      <c r="G47">
        <v>9</v>
      </c>
      <c r="H47">
        <v>0</v>
      </c>
      <c r="I47">
        <v>0</v>
      </c>
      <c r="J47">
        <v>1</v>
      </c>
      <c r="K47">
        <v>0</v>
      </c>
      <c r="L47">
        <v>1</v>
      </c>
      <c r="M47">
        <v>1</v>
      </c>
    </row>
    <row r="48" spans="1:13">
      <c r="A48" t="s">
        <v>58</v>
      </c>
      <c r="B48">
        <v>0</v>
      </c>
      <c r="C48">
        <v>0</v>
      </c>
      <c r="D48">
        <v>0</v>
      </c>
      <c r="E48">
        <v>3</v>
      </c>
      <c r="F48">
        <v>2</v>
      </c>
      <c r="G48">
        <v>0</v>
      </c>
      <c r="H48">
        <v>0</v>
      </c>
      <c r="I48">
        <v>4</v>
      </c>
      <c r="J48">
        <v>7</v>
      </c>
      <c r="K48">
        <v>2</v>
      </c>
      <c r="L48">
        <v>5</v>
      </c>
      <c r="M48">
        <v>1</v>
      </c>
    </row>
    <row r="49" spans="1:13">
      <c r="A49" t="s">
        <v>59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60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2</v>
      </c>
      <c r="J50">
        <v>0</v>
      </c>
      <c r="K50">
        <v>0</v>
      </c>
      <c r="L50">
        <v>0</v>
      </c>
      <c r="M50">
        <v>0</v>
      </c>
    </row>
    <row r="51" spans="1:13">
      <c r="A51" t="s">
        <v>61</v>
      </c>
      <c r="B51">
        <v>0</v>
      </c>
      <c r="C51">
        <v>0</v>
      </c>
      <c r="D51">
        <v>0</v>
      </c>
      <c r="E51">
        <v>1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62</v>
      </c>
      <c r="B52">
        <v>0</v>
      </c>
      <c r="C52">
        <v>0</v>
      </c>
      <c r="D52">
        <v>0</v>
      </c>
      <c r="E52">
        <v>18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63</v>
      </c>
      <c r="B53">
        <v>0</v>
      </c>
      <c r="C53">
        <v>0</v>
      </c>
      <c r="D53">
        <v>0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</row>
    <row r="54" spans="1:13">
      <c r="A54" t="s">
        <v>64</v>
      </c>
      <c r="B54">
        <v>0</v>
      </c>
      <c r="C54">
        <v>0</v>
      </c>
      <c r="D54">
        <v>0</v>
      </c>
      <c r="E54">
        <v>8</v>
      </c>
      <c r="F54">
        <v>0</v>
      </c>
      <c r="G54">
        <v>0</v>
      </c>
      <c r="H54">
        <v>0</v>
      </c>
      <c r="I54">
        <v>0</v>
      </c>
      <c r="J54">
        <v>0</v>
      </c>
      <c r="K54">
        <v>5</v>
      </c>
      <c r="L54">
        <v>0</v>
      </c>
      <c r="M54">
        <v>0</v>
      </c>
    </row>
    <row r="55" spans="1:13">
      <c r="A55" t="s">
        <v>65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66</v>
      </c>
      <c r="B56">
        <v>0</v>
      </c>
      <c r="C56">
        <v>0</v>
      </c>
      <c r="D56">
        <v>0</v>
      </c>
      <c r="E56">
        <v>1</v>
      </c>
      <c r="F56">
        <v>36</v>
      </c>
      <c r="G56">
        <v>31</v>
      </c>
      <c r="H56">
        <v>1</v>
      </c>
      <c r="I56">
        <v>0</v>
      </c>
      <c r="J56">
        <v>7</v>
      </c>
      <c r="K56">
        <v>1</v>
      </c>
      <c r="L56">
        <v>0</v>
      </c>
      <c r="M56">
        <v>1</v>
      </c>
    </row>
    <row r="57" spans="1:13">
      <c r="A57" t="s">
        <v>67</v>
      </c>
      <c r="B57">
        <v>0</v>
      </c>
      <c r="C57">
        <v>0</v>
      </c>
      <c r="D57">
        <v>0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68</v>
      </c>
      <c r="B58">
        <v>0</v>
      </c>
      <c r="C58">
        <v>0</v>
      </c>
      <c r="D58">
        <v>0</v>
      </c>
      <c r="E58">
        <v>7</v>
      </c>
      <c r="F58">
        <v>0</v>
      </c>
      <c r="G58">
        <v>0</v>
      </c>
      <c r="H58">
        <v>0</v>
      </c>
      <c r="I58">
        <v>0</v>
      </c>
      <c r="J58">
        <v>0</v>
      </c>
      <c r="K58">
        <v>2</v>
      </c>
      <c r="L58">
        <v>1</v>
      </c>
      <c r="M58">
        <v>0</v>
      </c>
    </row>
    <row r="59" spans="1:13">
      <c r="A59" t="s">
        <v>69</v>
      </c>
      <c r="B59">
        <v>0</v>
      </c>
      <c r="C59">
        <v>0</v>
      </c>
      <c r="D59">
        <v>0</v>
      </c>
      <c r="E59">
        <v>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70</v>
      </c>
      <c r="B60">
        <v>0</v>
      </c>
      <c r="C60">
        <v>0</v>
      </c>
      <c r="D60">
        <v>0</v>
      </c>
      <c r="E60">
        <v>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71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72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73</v>
      </c>
      <c r="B63">
        <v>0</v>
      </c>
      <c r="C63">
        <v>0</v>
      </c>
      <c r="D63">
        <v>0</v>
      </c>
      <c r="E63">
        <v>0</v>
      </c>
      <c r="F63">
        <v>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74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75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2</v>
      </c>
      <c r="J65">
        <v>0</v>
      </c>
      <c r="K65">
        <v>5</v>
      </c>
      <c r="L65">
        <v>0</v>
      </c>
      <c r="M65">
        <v>0</v>
      </c>
    </row>
    <row r="66" spans="1:13">
      <c r="A66" t="s">
        <v>76</v>
      </c>
      <c r="B66">
        <v>0</v>
      </c>
      <c r="C66">
        <v>0</v>
      </c>
      <c r="D66">
        <v>0</v>
      </c>
      <c r="E66">
        <v>0</v>
      </c>
      <c r="F66">
        <v>7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77</v>
      </c>
      <c r="B67">
        <v>0</v>
      </c>
      <c r="C67">
        <v>0</v>
      </c>
      <c r="D67">
        <v>0</v>
      </c>
      <c r="E67">
        <v>0</v>
      </c>
      <c r="F67">
        <v>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78</v>
      </c>
      <c r="B68">
        <v>0</v>
      </c>
      <c r="C68">
        <v>0</v>
      </c>
      <c r="D68">
        <v>0</v>
      </c>
      <c r="E68">
        <v>0</v>
      </c>
      <c r="F68">
        <v>2</v>
      </c>
      <c r="G68">
        <v>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79</v>
      </c>
      <c r="B69">
        <v>0</v>
      </c>
      <c r="C69">
        <v>0</v>
      </c>
      <c r="D69">
        <v>0</v>
      </c>
      <c r="E69">
        <v>0</v>
      </c>
      <c r="F69">
        <v>2</v>
      </c>
      <c r="G69">
        <v>3</v>
      </c>
      <c r="H69">
        <v>0</v>
      </c>
      <c r="I69">
        <v>0</v>
      </c>
      <c r="J69">
        <v>6</v>
      </c>
      <c r="K69">
        <v>1</v>
      </c>
      <c r="L69">
        <v>1</v>
      </c>
      <c r="M69">
        <v>0</v>
      </c>
    </row>
    <row r="70" spans="1:13">
      <c r="A70" t="s">
        <v>80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81</v>
      </c>
      <c r="B71">
        <v>0</v>
      </c>
      <c r="C71">
        <v>0</v>
      </c>
      <c r="D71">
        <v>0</v>
      </c>
      <c r="E71">
        <v>0</v>
      </c>
      <c r="F71">
        <v>0</v>
      </c>
      <c r="G71">
        <v>2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82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1</v>
      </c>
      <c r="L72">
        <v>0</v>
      </c>
      <c r="M72">
        <v>2</v>
      </c>
    </row>
    <row r="73" spans="1:13">
      <c r="A73" t="s">
        <v>83</v>
      </c>
      <c r="B73">
        <v>0</v>
      </c>
      <c r="C73">
        <v>0</v>
      </c>
      <c r="D73">
        <v>0</v>
      </c>
      <c r="E73">
        <v>0</v>
      </c>
      <c r="F73">
        <v>0</v>
      </c>
      <c r="G73">
        <v>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84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85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86</v>
      </c>
      <c r="B76">
        <v>0</v>
      </c>
      <c r="C76">
        <v>0</v>
      </c>
      <c r="D76">
        <v>0</v>
      </c>
      <c r="E76">
        <v>0</v>
      </c>
      <c r="F76">
        <v>0</v>
      </c>
      <c r="G76">
        <v>6</v>
      </c>
      <c r="H76">
        <v>8</v>
      </c>
      <c r="I76">
        <v>15</v>
      </c>
      <c r="J76">
        <v>0</v>
      </c>
      <c r="K76">
        <v>0</v>
      </c>
      <c r="L76">
        <v>0</v>
      </c>
      <c r="M76">
        <v>0</v>
      </c>
    </row>
    <row r="77" spans="1:13">
      <c r="A77" t="s">
        <v>87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88</v>
      </c>
      <c r="B78">
        <v>0</v>
      </c>
      <c r="C78">
        <v>0</v>
      </c>
      <c r="D78">
        <v>0</v>
      </c>
      <c r="E78">
        <v>0</v>
      </c>
      <c r="F78">
        <v>0</v>
      </c>
      <c r="G78">
        <v>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89</v>
      </c>
      <c r="B79">
        <v>0</v>
      </c>
      <c r="C79">
        <v>0</v>
      </c>
      <c r="D79">
        <v>0</v>
      </c>
      <c r="E79">
        <v>0</v>
      </c>
      <c r="F79">
        <v>0</v>
      </c>
      <c r="G79">
        <v>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90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91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92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4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93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94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2</v>
      </c>
      <c r="I84">
        <v>0</v>
      </c>
      <c r="J84">
        <v>0</v>
      </c>
      <c r="K84">
        <v>0</v>
      </c>
      <c r="L84">
        <v>0</v>
      </c>
      <c r="M84">
        <v>1</v>
      </c>
    </row>
    <row r="85" spans="1:13">
      <c r="A85" t="s">
        <v>95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96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2</v>
      </c>
      <c r="I86">
        <v>1</v>
      </c>
      <c r="J86">
        <v>2</v>
      </c>
      <c r="K86">
        <v>0</v>
      </c>
      <c r="L86">
        <v>0</v>
      </c>
      <c r="M86">
        <v>0</v>
      </c>
    </row>
    <row r="87" spans="1:13">
      <c r="A87" t="s">
        <v>97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98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7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99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2</v>
      </c>
      <c r="I89">
        <v>0</v>
      </c>
      <c r="J89">
        <v>0</v>
      </c>
      <c r="K89">
        <v>0</v>
      </c>
      <c r="L89">
        <v>0</v>
      </c>
      <c r="M89">
        <v>1</v>
      </c>
    </row>
    <row r="90" spans="1:13">
      <c r="A90" t="s">
        <v>100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2</v>
      </c>
      <c r="I90">
        <v>0</v>
      </c>
      <c r="J90">
        <v>11</v>
      </c>
      <c r="K90">
        <v>1</v>
      </c>
      <c r="L90">
        <v>15</v>
      </c>
      <c r="M90">
        <v>6</v>
      </c>
    </row>
    <row r="91" spans="1:13">
      <c r="A91" t="s">
        <v>101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2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102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4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103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104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105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3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106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2</v>
      </c>
      <c r="I96">
        <v>8</v>
      </c>
      <c r="J96">
        <v>0</v>
      </c>
      <c r="K96">
        <v>0</v>
      </c>
      <c r="L96">
        <v>0</v>
      </c>
      <c r="M96">
        <v>0</v>
      </c>
    </row>
    <row r="97" spans="1:13">
      <c r="A97" t="s">
        <v>107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108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109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12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110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6</v>
      </c>
      <c r="I100">
        <v>24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111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112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113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114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</v>
      </c>
      <c r="I104">
        <v>16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115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2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116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2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117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8</v>
      </c>
      <c r="J107">
        <v>7</v>
      </c>
      <c r="K107">
        <v>18</v>
      </c>
      <c r="L107">
        <v>30</v>
      </c>
      <c r="M107">
        <v>25</v>
      </c>
    </row>
    <row r="108" spans="1:13">
      <c r="A108" t="s">
        <v>118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119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6</v>
      </c>
      <c r="K109">
        <v>23</v>
      </c>
      <c r="L109">
        <v>0</v>
      </c>
      <c r="M109">
        <v>0</v>
      </c>
    </row>
    <row r="110" spans="1:13">
      <c r="A110" t="s">
        <v>120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21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121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4</v>
      </c>
      <c r="I111">
        <v>6</v>
      </c>
      <c r="J111">
        <v>0</v>
      </c>
      <c r="K111">
        <v>1</v>
      </c>
      <c r="L111">
        <v>1</v>
      </c>
      <c r="M111">
        <v>1</v>
      </c>
    </row>
    <row r="112" spans="1:13">
      <c r="A112" t="s">
        <v>122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123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2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124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125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0</v>
      </c>
    </row>
    <row r="116" spans="1:13">
      <c r="A116" t="s">
        <v>126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2</v>
      </c>
      <c r="J116">
        <v>0</v>
      </c>
      <c r="K116">
        <v>1</v>
      </c>
      <c r="L116">
        <v>2</v>
      </c>
      <c r="M116">
        <v>1</v>
      </c>
    </row>
    <row r="117" spans="1:13">
      <c r="A117" t="s">
        <v>127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</row>
    <row r="118" spans="1:13">
      <c r="A118" t="s">
        <v>128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</row>
    <row r="119" spans="1:13">
      <c r="A119" t="s">
        <v>129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</row>
    <row r="120" spans="1:13">
      <c r="A120" t="s">
        <v>130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</row>
    <row r="121" spans="1:13">
      <c r="A121" t="s">
        <v>131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</row>
    <row r="122" spans="1:13">
      <c r="A122" t="s">
        <v>132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</v>
      </c>
      <c r="K122">
        <v>0</v>
      </c>
      <c r="L122">
        <v>0</v>
      </c>
      <c r="M122">
        <v>0</v>
      </c>
    </row>
    <row r="123" spans="1:13">
      <c r="A123" t="s">
        <v>133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</row>
    <row r="124" spans="1:13">
      <c r="A124" t="s">
        <v>134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12</v>
      </c>
      <c r="K124">
        <v>0</v>
      </c>
      <c r="L124">
        <v>0</v>
      </c>
      <c r="M124">
        <v>0</v>
      </c>
    </row>
    <row r="125" spans="1:13">
      <c r="A125" t="s">
        <v>135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</row>
    <row r="126" spans="1:13">
      <c r="A126" t="s">
        <v>136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14</v>
      </c>
      <c r="K126">
        <v>0</v>
      </c>
      <c r="L126">
        <v>0</v>
      </c>
      <c r="M126">
        <v>0</v>
      </c>
    </row>
    <row r="127" spans="1:13">
      <c r="A127" t="s">
        <v>137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1</v>
      </c>
      <c r="L127">
        <v>1</v>
      </c>
      <c r="M127">
        <v>2</v>
      </c>
    </row>
    <row r="128" spans="1:13">
      <c r="A128" t="s">
        <v>138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31</v>
      </c>
      <c r="K128">
        <v>0</v>
      </c>
      <c r="L128">
        <v>0</v>
      </c>
      <c r="M128">
        <v>1</v>
      </c>
    </row>
    <row r="129" spans="1:13">
      <c r="A129" t="s">
        <v>139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3</v>
      </c>
      <c r="L129">
        <v>4</v>
      </c>
      <c r="M129">
        <v>2</v>
      </c>
    </row>
    <row r="130" spans="1:13">
      <c r="A130" t="s">
        <v>140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</row>
    <row r="131" spans="1:13">
      <c r="A131" t="s">
        <v>141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</v>
      </c>
      <c r="K131">
        <v>0</v>
      </c>
      <c r="L131">
        <v>0</v>
      </c>
      <c r="M131">
        <v>0</v>
      </c>
    </row>
    <row r="132" spans="1:13">
      <c r="A132" t="s">
        <v>142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</row>
    <row r="133" spans="1:13">
      <c r="A133" t="s">
        <v>143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</v>
      </c>
      <c r="K133">
        <v>0</v>
      </c>
      <c r="L133">
        <v>0</v>
      </c>
      <c r="M133">
        <v>2</v>
      </c>
    </row>
    <row r="134" spans="1:13">
      <c r="A134" t="s">
        <v>144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2</v>
      </c>
      <c r="K134">
        <v>0</v>
      </c>
      <c r="L134">
        <v>0</v>
      </c>
      <c r="M134">
        <v>0</v>
      </c>
    </row>
    <row r="135" spans="1:13">
      <c r="A135" t="s">
        <v>145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</row>
    <row r="136" spans="1:13">
      <c r="A136" t="s">
        <v>146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</row>
    <row r="137" spans="1:13">
      <c r="A137" t="s">
        <v>147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1</v>
      </c>
    </row>
    <row r="138" spans="1:13">
      <c r="A138" t="s">
        <v>148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</row>
    <row r="139" spans="1:13">
      <c r="A139" t="s">
        <v>149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</row>
    <row r="140" spans="1:13">
      <c r="A140" t="s">
        <v>150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</row>
    <row r="141" spans="1:13">
      <c r="A141" t="s">
        <v>151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7</v>
      </c>
      <c r="L141">
        <v>0</v>
      </c>
      <c r="M141">
        <v>0</v>
      </c>
    </row>
    <row r="142" spans="1:13">
      <c r="A142" t="s">
        <v>152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</row>
    <row r="143" spans="1:13">
      <c r="A143" t="s">
        <v>153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5</v>
      </c>
      <c r="L143">
        <v>1</v>
      </c>
      <c r="M143">
        <v>0</v>
      </c>
    </row>
    <row r="144" spans="1:13">
      <c r="A144" t="s">
        <v>154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</row>
    <row r="145" spans="1:13">
      <c r="A145" t="s">
        <v>155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</v>
      </c>
      <c r="L145">
        <v>1</v>
      </c>
      <c r="M145">
        <v>0</v>
      </c>
    </row>
    <row r="146" spans="1:13">
      <c r="A146" t="s">
        <v>156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</row>
    <row r="147" spans="1:13">
      <c r="A147" t="s">
        <v>157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</row>
    <row r="148" spans="1:13">
      <c r="A148" t="s">
        <v>158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14</v>
      </c>
      <c r="L148">
        <v>0</v>
      </c>
      <c r="M148">
        <v>0</v>
      </c>
    </row>
    <row r="149" spans="1:13">
      <c r="A149" t="s">
        <v>159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</row>
    <row r="150" spans="1:13">
      <c r="A150" t="s">
        <v>160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</row>
    <row r="151" spans="1:13">
      <c r="A151" t="s">
        <v>161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</row>
    <row r="152" spans="1:13">
      <c r="A152" t="s">
        <v>162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</row>
    <row r="153" spans="1:13">
      <c r="A153" t="s">
        <v>163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</row>
    <row r="154" spans="1:13">
      <c r="A154" t="s">
        <v>164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</row>
    <row r="155" spans="1:13">
      <c r="A155" t="s">
        <v>165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3</v>
      </c>
      <c r="M155">
        <v>3</v>
      </c>
    </row>
    <row r="156" spans="1:13">
      <c r="A156" t="s">
        <v>166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</v>
      </c>
      <c r="M156">
        <v>0</v>
      </c>
    </row>
    <row r="157" spans="1:13">
      <c r="A157" t="s">
        <v>167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</row>
    <row r="158" spans="1:13">
      <c r="A158" t="s">
        <v>168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1</v>
      </c>
    </row>
    <row r="159" spans="1:13">
      <c r="A159" t="s">
        <v>169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</row>
    <row r="160" spans="1:13">
      <c r="A160" t="s">
        <v>170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</row>
    <row r="161" spans="1:13">
      <c r="A161" t="s">
        <v>171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5</v>
      </c>
      <c r="M161">
        <v>1</v>
      </c>
    </row>
    <row r="162" spans="1:13">
      <c r="A162" t="s">
        <v>172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</row>
    <row r="163" spans="1:13">
      <c r="A163" t="s">
        <v>173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3</v>
      </c>
      <c r="M163">
        <v>0</v>
      </c>
    </row>
    <row r="164" spans="1:13">
      <c r="A164" t="s">
        <v>174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</v>
      </c>
      <c r="M164">
        <v>0</v>
      </c>
    </row>
    <row r="165" spans="1:13">
      <c r="A165" t="s">
        <v>175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4</v>
      </c>
      <c r="M165">
        <v>0</v>
      </c>
    </row>
    <row r="166" spans="1:13">
      <c r="A166" t="s">
        <v>176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</v>
      </c>
      <c r="M166">
        <v>4</v>
      </c>
    </row>
    <row r="167" spans="1:13">
      <c r="A167" t="s">
        <v>177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</row>
    <row r="168" spans="1:13">
      <c r="A168" t="s">
        <v>178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6</v>
      </c>
    </row>
    <row r="169" spans="1:13">
      <c r="A169" t="s">
        <v>179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</row>
    <row r="170" spans="1:13">
      <c r="A170" t="s">
        <v>180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2</v>
      </c>
    </row>
    <row r="171" spans="1:13">
      <c r="A171" t="s">
        <v>181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</row>
    <row r="172" spans="1:13">
      <c r="A172" t="s">
        <v>182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</v>
      </c>
    </row>
    <row r="173" spans="1:13">
      <c r="A173" t="s">
        <v>183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</row>
    <row r="174" spans="1:13">
      <c r="A174" t="s">
        <v>184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</v>
      </c>
    </row>
    <row r="175" spans="1:13">
      <c r="A175" t="s">
        <v>185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</row>
    <row r="176" spans="1:13">
      <c r="A176" t="s">
        <v>186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</row>
    <row r="177" spans="1:13">
      <c r="A177" t="s">
        <v>187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</v>
      </c>
    </row>
    <row r="178" spans="1:13">
      <c r="A178" t="s">
        <v>188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</v>
      </c>
    </row>
    <row r="179" spans="1:13">
      <c r="A179" t="s">
        <v>189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</row>
    <row r="180" spans="1:13">
      <c r="A180" t="s">
        <v>190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</row>
    <row r="181" spans="1:13">
      <c r="A181" t="s">
        <v>191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</v>
      </c>
    </row>
    <row r="182" spans="1:13">
      <c r="A182" t="s">
        <v>192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</row>
    <row r="183" spans="1:13">
      <c r="A183" t="s">
        <v>193</v>
      </c>
      <c r="B183">
        <f>SUM(B2:B182)</f>
        <v>167</v>
      </c>
      <c r="C183">
        <f t="shared" ref="C183:M183" si="0">SUM(C2:C182)</f>
        <v>202</v>
      </c>
      <c r="D183">
        <f t="shared" si="0"/>
        <v>128</v>
      </c>
      <c r="E183">
        <f t="shared" si="0"/>
        <v>164</v>
      </c>
      <c r="F183">
        <f t="shared" si="0"/>
        <v>212</v>
      </c>
      <c r="G183">
        <f t="shared" si="0"/>
        <v>188</v>
      </c>
      <c r="H183">
        <f t="shared" si="0"/>
        <v>197</v>
      </c>
      <c r="I183">
        <f t="shared" si="0"/>
        <v>175</v>
      </c>
      <c r="J183">
        <f t="shared" si="0"/>
        <v>188</v>
      </c>
      <c r="K183">
        <f t="shared" si="0"/>
        <v>210</v>
      </c>
      <c r="L183">
        <f t="shared" si="0"/>
        <v>187</v>
      </c>
      <c r="M183">
        <f t="shared" si="0"/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5B044-3483-43CF-8616-60F012A174FF}">
  <dimension ref="A2:N23"/>
  <sheetViews>
    <sheetView tabSelected="1" topLeftCell="A14" workbookViewId="0">
      <selection activeCell="N23" sqref="N23"/>
    </sheetView>
  </sheetViews>
  <sheetFormatPr defaultRowHeight="14.5"/>
  <cols>
    <col min="1" max="1" width="26.36328125" customWidth="1"/>
  </cols>
  <sheetData>
    <row r="2" spans="1:14">
      <c r="A2" s="2" t="s">
        <v>195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4">
      <c r="A4" s="3" t="s">
        <v>194</v>
      </c>
      <c r="B4" s="4" t="s">
        <v>196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 t="s">
        <v>193</v>
      </c>
    </row>
    <row r="5" spans="1:14">
      <c r="A5" s="3"/>
      <c r="B5" s="6" t="s">
        <v>197</v>
      </c>
      <c r="C5" s="6" t="s">
        <v>198</v>
      </c>
      <c r="D5" s="6" t="s">
        <v>199</v>
      </c>
      <c r="E5" s="6" t="s">
        <v>200</v>
      </c>
      <c r="F5" s="6" t="s">
        <v>201</v>
      </c>
      <c r="G5" s="6" t="s">
        <v>202</v>
      </c>
      <c r="H5" s="6" t="s">
        <v>203</v>
      </c>
      <c r="I5" s="6" t="s">
        <v>204</v>
      </c>
      <c r="J5" s="6" t="s">
        <v>205</v>
      </c>
      <c r="K5" s="6" t="s">
        <v>206</v>
      </c>
      <c r="L5" s="6" t="s">
        <v>207</v>
      </c>
      <c r="M5" s="6" t="s">
        <v>208</v>
      </c>
      <c r="N5" s="5"/>
    </row>
    <row r="6" spans="1:14" ht="28">
      <c r="A6" s="7" t="s">
        <v>16</v>
      </c>
      <c r="B6" s="8">
        <f>[1]JANUARI!J4</f>
        <v>56</v>
      </c>
      <c r="C6" s="8">
        <f>[1]FEBRUARI!K4</f>
        <v>55</v>
      </c>
      <c r="D6" s="8">
        <f>[1]MARET!K4</f>
        <v>30</v>
      </c>
      <c r="E6" s="8">
        <f>[1]APRIL!K5</f>
        <v>38</v>
      </c>
      <c r="F6" s="8">
        <f>[1]MEI!L4</f>
        <v>59</v>
      </c>
      <c r="G6" s="8">
        <f>[1]JUNI!J4</f>
        <v>59</v>
      </c>
      <c r="H6" s="8">
        <f>[1]JULI!J4</f>
        <v>50</v>
      </c>
      <c r="I6" s="8">
        <f>[1]AGUSTUS!M15</f>
        <v>36</v>
      </c>
      <c r="J6" s="8">
        <f>[1]SEPTEMBER!J4</f>
        <v>51</v>
      </c>
      <c r="K6" s="8">
        <f>[1]OKTOBER!L99</f>
        <v>51</v>
      </c>
      <c r="L6" s="8">
        <f>[1]NOVEMBER!L5</f>
        <v>54</v>
      </c>
      <c r="M6" s="8">
        <f>[1]DESEMBER!K5</f>
        <v>49</v>
      </c>
      <c r="N6" s="8">
        <f>SUM(B6:M6)</f>
        <v>588</v>
      </c>
    </row>
    <row r="7" spans="1:14" ht="28">
      <c r="A7" s="9" t="s">
        <v>13</v>
      </c>
      <c r="B7" s="8">
        <f>[1]JANUARI!J5</f>
        <v>2</v>
      </c>
      <c r="C7" s="8">
        <f>[1]FEBRUARI!K5</f>
        <v>5</v>
      </c>
      <c r="D7" s="8">
        <f>[1]MARET!K5</f>
        <v>6</v>
      </c>
      <c r="E7" s="8">
        <f>[1]APRIL!K6</f>
        <v>0</v>
      </c>
      <c r="F7" s="8">
        <f>[1]MEI!L5</f>
        <v>0</v>
      </c>
      <c r="G7" s="8">
        <f>[1]JUNI!J5</f>
        <v>11</v>
      </c>
      <c r="H7" s="8">
        <f>[1]JULI!J5</f>
        <v>6</v>
      </c>
      <c r="I7" s="8">
        <f>[1]AGUSTUS!M16</f>
        <v>8</v>
      </c>
      <c r="J7" s="8">
        <f>[1]SEPTEMBER!J5</f>
        <v>7</v>
      </c>
      <c r="K7" s="8">
        <f>[1]OKTOBER!L100</f>
        <v>10</v>
      </c>
      <c r="L7" s="8">
        <f>[1]NOVEMBER!L6</f>
        <v>4</v>
      </c>
      <c r="M7" s="8">
        <f>[1]DESEMBER!K6</f>
        <v>11</v>
      </c>
      <c r="N7" s="8">
        <f t="shared" ref="N7:N20" si="0">SUM(B7:M7)</f>
        <v>70</v>
      </c>
    </row>
    <row r="8" spans="1:14" ht="42">
      <c r="A8" s="10" t="s">
        <v>29</v>
      </c>
      <c r="B8" s="8">
        <f>[1]JANUARI!J6</f>
        <v>37</v>
      </c>
      <c r="C8" s="8">
        <f>[1]FEBRUARI!K6</f>
        <v>55</v>
      </c>
      <c r="D8" s="8">
        <f>[1]MARET!K6</f>
        <v>24</v>
      </c>
      <c r="E8" s="8">
        <f>[1]APRIL!K7</f>
        <v>19</v>
      </c>
      <c r="F8" s="8">
        <f>[1]MEI!L6</f>
        <v>38</v>
      </c>
      <c r="G8" s="8">
        <f>[1]JUNI!J6</f>
        <v>31</v>
      </c>
      <c r="H8" s="8">
        <f>[1]JULI!J6</f>
        <v>43</v>
      </c>
      <c r="I8" s="8">
        <f>[1]AGUSTUS!M17</f>
        <v>24</v>
      </c>
      <c r="J8" s="8">
        <f>[1]SEPTEMBER!J6</f>
        <v>39</v>
      </c>
      <c r="K8" s="8">
        <f>[1]OKTOBER!L101</f>
        <v>28</v>
      </c>
      <c r="L8" s="8">
        <f>[1]NOVEMBER!L7</f>
        <v>24</v>
      </c>
      <c r="M8" s="8">
        <f>[1]DESEMBER!K7</f>
        <v>38</v>
      </c>
      <c r="N8" s="8">
        <f t="shared" si="0"/>
        <v>400</v>
      </c>
    </row>
    <row r="9" spans="1:14" ht="42">
      <c r="A9" s="11" t="s">
        <v>28</v>
      </c>
      <c r="B9" s="8">
        <f>[1]JANUARI!J7</f>
        <v>13</v>
      </c>
      <c r="C9" s="8">
        <f>[1]FEBRUARI!K7</f>
        <v>16</v>
      </c>
      <c r="D9" s="8">
        <f>[1]MARET!K7</f>
        <v>11</v>
      </c>
      <c r="E9" s="8">
        <f>[1]APRIL!K8</f>
        <v>17</v>
      </c>
      <c r="F9" s="8">
        <f>[1]MEI!L7</f>
        <v>12</v>
      </c>
      <c r="G9" s="8">
        <f>[1]JUNI!J7</f>
        <v>15</v>
      </c>
      <c r="H9" s="8">
        <f>[1]JULI!J7</f>
        <v>24</v>
      </c>
      <c r="I9" s="8">
        <f>[1]AGUSTUS!M18</f>
        <v>28</v>
      </c>
      <c r="J9" s="8">
        <f>[1]SEPTEMBER!J7</f>
        <v>26</v>
      </c>
      <c r="K9" s="8">
        <f>[1]OKTOBER!L102</f>
        <v>23</v>
      </c>
      <c r="L9" s="8">
        <f>[1]NOVEMBER!L8</f>
        <v>33</v>
      </c>
      <c r="M9" s="8">
        <f>[1]DESEMBER!K8</f>
        <v>32</v>
      </c>
      <c r="N9" s="8">
        <f t="shared" si="0"/>
        <v>250</v>
      </c>
    </row>
    <row r="10" spans="1:14">
      <c r="A10" s="12" t="s">
        <v>31</v>
      </c>
      <c r="B10" s="8">
        <f>[1]JANUARI!J8</f>
        <v>17</v>
      </c>
      <c r="C10" s="8">
        <f>[1]FEBRUARI!K8</f>
        <v>13</v>
      </c>
      <c r="D10" s="8">
        <f>[1]MARET!K8</f>
        <v>7</v>
      </c>
      <c r="E10" s="8">
        <f>[1]APRIL!K9</f>
        <v>13</v>
      </c>
      <c r="F10" s="8">
        <f>[1]MEI!L8</f>
        <v>7</v>
      </c>
      <c r="G10" s="8">
        <f>[1]JUNI!J8</f>
        <v>13</v>
      </c>
      <c r="H10" s="8">
        <f>[1]JULI!J8</f>
        <v>5</v>
      </c>
      <c r="I10" s="8">
        <f>[1]AGUSTUS!M19</f>
        <v>6</v>
      </c>
      <c r="J10" s="8">
        <f>[1]SEPTEMBER!J8</f>
        <v>9</v>
      </c>
      <c r="K10" s="8">
        <f>[1]OKTOBER!L103</f>
        <v>15</v>
      </c>
      <c r="L10" s="8">
        <f>[1]NOVEMBER!L9</f>
        <v>16</v>
      </c>
      <c r="M10" s="8">
        <f>[1]DESEMBER!K9</f>
        <v>7</v>
      </c>
      <c r="N10" s="8">
        <f t="shared" si="0"/>
        <v>128</v>
      </c>
    </row>
    <row r="11" spans="1:14" ht="28">
      <c r="A11" s="13" t="s">
        <v>121</v>
      </c>
      <c r="B11" s="8">
        <f>[1]JANUARI!J9</f>
        <v>0</v>
      </c>
      <c r="C11" s="8">
        <f>[1]FEBRUARI!K9</f>
        <v>0</v>
      </c>
      <c r="D11" s="8">
        <f>[1]MARET!K9</f>
        <v>0</v>
      </c>
      <c r="E11" s="8">
        <f>[1]APRIL!K10</f>
        <v>0</v>
      </c>
      <c r="F11" s="8">
        <f>[1]MEI!L9</f>
        <v>2</v>
      </c>
      <c r="G11" s="8">
        <f>[1]JUNI!J9</f>
        <v>4</v>
      </c>
      <c r="H11" s="8">
        <f>[1]JULI!J9</f>
        <v>4</v>
      </c>
      <c r="I11" s="8">
        <f>[1]AGUSTUS!M20</f>
        <v>6</v>
      </c>
      <c r="J11" s="8">
        <f>[1]SEPTEMBER!J9</f>
        <v>6</v>
      </c>
      <c r="K11" s="8">
        <f>[1]OKTOBER!L104</f>
        <v>2</v>
      </c>
      <c r="L11" s="8">
        <f>[1]NOVEMBER!L10</f>
        <v>4</v>
      </c>
      <c r="M11" s="8">
        <f>[1]DESEMBER!K10</f>
        <v>4</v>
      </c>
      <c r="N11" s="8">
        <f t="shared" si="0"/>
        <v>32</v>
      </c>
    </row>
    <row r="12" spans="1:14">
      <c r="A12" s="14" t="s">
        <v>209</v>
      </c>
      <c r="B12" s="8">
        <f>[1]JANUARI!J10</f>
        <v>3</v>
      </c>
      <c r="C12" s="8">
        <f>[1]FEBRUARI!K10</f>
        <v>9</v>
      </c>
      <c r="D12" s="8">
        <f>[1]MARET!K10</f>
        <v>10</v>
      </c>
      <c r="E12" s="8">
        <f>[1]APRIL!K11</f>
        <v>13</v>
      </c>
      <c r="F12" s="8">
        <f>[1]MEI!L10</f>
        <v>10</v>
      </c>
      <c r="G12" s="8">
        <f>[1]JUNI!J10</f>
        <v>9</v>
      </c>
      <c r="H12" s="8">
        <f>[1]JULI!J10</f>
        <v>12</v>
      </c>
      <c r="I12" s="8">
        <f>[1]AGUSTUS!M21</f>
        <v>14</v>
      </c>
      <c r="J12" s="8">
        <f>[1]SEPTEMBER!J10</f>
        <v>6</v>
      </c>
      <c r="K12" s="8">
        <f>[1]OKTOBER!L105</f>
        <v>15</v>
      </c>
      <c r="L12" s="8">
        <f>[1]NOVEMBER!L11</f>
        <v>6</v>
      </c>
      <c r="M12" s="8">
        <f>[1]DESEMBER!K11</f>
        <v>12</v>
      </c>
      <c r="N12" s="8">
        <f t="shared" si="0"/>
        <v>119</v>
      </c>
    </row>
    <row r="13" spans="1:14" ht="28">
      <c r="A13" s="15" t="s">
        <v>106</v>
      </c>
      <c r="B13" s="8">
        <f>[1]JANUARI!J11</f>
        <v>0</v>
      </c>
      <c r="C13" s="8">
        <f>[1]FEBRUARI!K11</f>
        <v>0</v>
      </c>
      <c r="D13" s="8">
        <f>[1]MARET!K11</f>
        <v>0</v>
      </c>
      <c r="E13" s="8">
        <f>[1]APRIL!K12</f>
        <v>6</v>
      </c>
      <c r="F13" s="8">
        <f>[1]MEI!L11</f>
        <v>1</v>
      </c>
      <c r="G13" s="8">
        <f>[1]JUNI!J11</f>
        <v>4</v>
      </c>
      <c r="H13" s="8">
        <f>[1]JULI!J11</f>
        <v>10</v>
      </c>
      <c r="I13" s="8">
        <f>[1]AGUSTUS!M22</f>
        <v>10</v>
      </c>
      <c r="J13" s="8">
        <f>[1]SEPTEMBER!J11</f>
        <v>3</v>
      </c>
      <c r="K13" s="8">
        <f>[1]OKTOBER!L106</f>
        <v>4</v>
      </c>
      <c r="L13" s="8">
        <f>[1]NOVEMBER!L12</f>
        <v>17</v>
      </c>
      <c r="M13" s="8">
        <f>[1]DESEMBER!K12</f>
        <v>6</v>
      </c>
      <c r="N13" s="8">
        <f t="shared" si="0"/>
        <v>61</v>
      </c>
    </row>
    <row r="14" spans="1:14" ht="28">
      <c r="A14" s="16" t="s">
        <v>58</v>
      </c>
      <c r="B14" s="8">
        <f>[1]JANUARI!J12</f>
        <v>0</v>
      </c>
      <c r="C14" s="8">
        <f>[1]FEBRUARI!K12</f>
        <v>0</v>
      </c>
      <c r="D14" s="8">
        <f>[1]MARET!K12</f>
        <v>0</v>
      </c>
      <c r="E14" s="8">
        <f>[1]APRIL!K13</f>
        <v>6</v>
      </c>
      <c r="F14" s="8">
        <f>[1]MEI!L12</f>
        <v>1</v>
      </c>
      <c r="G14" s="8">
        <f>[1]JUNI!J12</f>
        <v>4</v>
      </c>
      <c r="H14" s="8">
        <f>[1]JULI!J12</f>
        <v>10</v>
      </c>
      <c r="I14" s="8">
        <f>[1]AGUSTUS!M23</f>
        <v>10</v>
      </c>
      <c r="J14" s="8">
        <f>[1]SEPTEMBER!J12</f>
        <v>3</v>
      </c>
      <c r="K14" s="8">
        <f>[1]OKTOBER!L107</f>
        <v>4</v>
      </c>
      <c r="L14" s="8">
        <f>[1]NOVEMBER!L13</f>
        <v>17</v>
      </c>
      <c r="M14" s="8">
        <f>[1]DESEMBER!K13</f>
        <v>6</v>
      </c>
      <c r="N14" s="8">
        <f t="shared" si="0"/>
        <v>61</v>
      </c>
    </row>
    <row r="15" spans="1:14">
      <c r="A15" s="17" t="s">
        <v>45</v>
      </c>
      <c r="B15" s="8">
        <f>[1]JANUARI!J13</f>
        <v>0</v>
      </c>
      <c r="C15" s="8">
        <f>[1]FEBRUARI!K13</f>
        <v>0</v>
      </c>
      <c r="D15" s="8">
        <f>[1]MARET!K13</f>
        <v>6</v>
      </c>
      <c r="E15" s="8">
        <f>[1]APRIL!K14</f>
        <v>38</v>
      </c>
      <c r="F15" s="8">
        <f>[1]MEI!L13</f>
        <v>59</v>
      </c>
      <c r="G15" s="8">
        <f>[1]JUNI!J13</f>
        <v>59</v>
      </c>
      <c r="H15" s="8">
        <f>[1]JULI!J13</f>
        <v>50</v>
      </c>
      <c r="I15" s="8">
        <f>[1]AGUSTUS!M24</f>
        <v>36</v>
      </c>
      <c r="J15" s="8">
        <f>[1]SEPTEMBER!J13</f>
        <v>51</v>
      </c>
      <c r="K15" s="8">
        <f>[1]OKTOBER!L108</f>
        <v>51</v>
      </c>
      <c r="L15" s="8">
        <f>[1]NOVEMBER!L14</f>
        <v>54</v>
      </c>
      <c r="M15" s="8">
        <f>[1]DESEMBER!K14</f>
        <v>49</v>
      </c>
      <c r="N15" s="8">
        <f t="shared" si="0"/>
        <v>453</v>
      </c>
    </row>
    <row r="16" spans="1:14" ht="28">
      <c r="A16" s="18" t="s">
        <v>210</v>
      </c>
      <c r="B16" s="8">
        <f>[1]JANUARI!J14</f>
        <v>1</v>
      </c>
      <c r="C16" s="8">
        <f>[1]FEBRUARI!K14</f>
        <v>0</v>
      </c>
      <c r="D16" s="8">
        <f>[1]MARET!K14</f>
        <v>0</v>
      </c>
      <c r="E16" s="8">
        <f>[1]APRIL!K15</f>
        <v>0</v>
      </c>
      <c r="F16" s="8">
        <f>[1]MEI!L14</f>
        <v>3</v>
      </c>
      <c r="G16" s="8">
        <f>[1]JUNI!J14</f>
        <v>2</v>
      </c>
      <c r="H16" s="8">
        <f>[1]JULI!J14</f>
        <v>2</v>
      </c>
      <c r="I16" s="8">
        <f>[1]AGUSTUS!M25</f>
        <v>0</v>
      </c>
      <c r="J16" s="8">
        <f>[1]SEPTEMBER!J14</f>
        <v>0</v>
      </c>
      <c r="K16" s="8">
        <f>[1]OKTOBER!L109</f>
        <v>4</v>
      </c>
      <c r="L16" s="8">
        <f>[1]NOVEMBER!L15</f>
        <v>2</v>
      </c>
      <c r="M16" s="8">
        <f>[1]DESEMBER!K15</f>
        <v>3</v>
      </c>
      <c r="N16" s="8">
        <f t="shared" si="0"/>
        <v>17</v>
      </c>
    </row>
    <row r="17" spans="1:14">
      <c r="A17" s="19" t="s">
        <v>92</v>
      </c>
      <c r="B17" s="8">
        <f>[1]JANUARI!J15</f>
        <v>0</v>
      </c>
      <c r="C17" s="8">
        <f>[1]FEBRUARI!K15</f>
        <v>2</v>
      </c>
      <c r="D17" s="8">
        <f>[1]MARET!K15</f>
        <v>3</v>
      </c>
      <c r="E17" s="8">
        <f>[1]APRIL!K16</f>
        <v>17</v>
      </c>
      <c r="F17" s="8">
        <f>[1]MEI!L15</f>
        <v>12</v>
      </c>
      <c r="G17" s="8">
        <f>[1]JUNI!J15</f>
        <v>15</v>
      </c>
      <c r="H17" s="8">
        <f>[1]JULI!J15</f>
        <v>24</v>
      </c>
      <c r="I17" s="8">
        <f>[1]AGUSTUS!M26</f>
        <v>28</v>
      </c>
      <c r="J17" s="8">
        <f>[1]SEPTEMBER!J15</f>
        <v>26</v>
      </c>
      <c r="K17" s="8">
        <f>[1]OKTOBER!L110</f>
        <v>23</v>
      </c>
      <c r="L17" s="8">
        <f>[1]NOVEMBER!L16</f>
        <v>33</v>
      </c>
      <c r="M17" s="8">
        <f>[1]DESEMBER!K16</f>
        <v>32</v>
      </c>
      <c r="N17" s="8">
        <f t="shared" si="0"/>
        <v>215</v>
      </c>
    </row>
    <row r="18" spans="1:14" ht="42">
      <c r="A18" s="20" t="s">
        <v>37</v>
      </c>
      <c r="B18" s="8">
        <f>[1]JANUARI!J16</f>
        <v>0</v>
      </c>
      <c r="C18" s="8">
        <f>[1]FEBRUARI!K16</f>
        <v>1</v>
      </c>
      <c r="D18" s="8">
        <f>[1]MARET!K16</f>
        <v>1</v>
      </c>
      <c r="E18" s="8">
        <f>[1]APRIL!K17</f>
        <v>1</v>
      </c>
      <c r="F18" s="8">
        <f>[1]MEI!L16</f>
        <v>1</v>
      </c>
      <c r="G18" s="8">
        <f>[1]JUNI!J16</f>
        <v>3</v>
      </c>
      <c r="H18" s="8">
        <f>[1]JULI!J16</f>
        <v>4</v>
      </c>
      <c r="I18" s="8">
        <f>[1]AGUSTUS!M27</f>
        <v>2</v>
      </c>
      <c r="J18" s="8">
        <f>[1]SEPTEMBER!J16</f>
        <v>4</v>
      </c>
      <c r="K18" s="8">
        <f>[1]OKTOBER!L111</f>
        <v>10</v>
      </c>
      <c r="L18" s="8">
        <f>[1]NOVEMBER!L17</f>
        <v>2</v>
      </c>
      <c r="M18" s="8">
        <f>[1]DESEMBER!K17</f>
        <v>3</v>
      </c>
      <c r="N18" s="8">
        <f t="shared" si="0"/>
        <v>32</v>
      </c>
    </row>
    <row r="19" spans="1:14" ht="28">
      <c r="A19" s="21" t="s">
        <v>211</v>
      </c>
      <c r="B19" s="8">
        <f>[1]JANUARI!J17</f>
        <v>0</v>
      </c>
      <c r="C19" s="8">
        <f>[1]FEBRUARI!K17</f>
        <v>0</v>
      </c>
      <c r="D19" s="8">
        <f>[1]MARET!K17</f>
        <v>0</v>
      </c>
      <c r="E19" s="8">
        <f>[1]APRIL!K18</f>
        <v>2</v>
      </c>
      <c r="F19" s="8">
        <f>[1]MEI!L17</f>
        <v>4</v>
      </c>
      <c r="G19" s="8">
        <f>[1]JUNI!J17</f>
        <v>3</v>
      </c>
      <c r="H19" s="8">
        <f>[1]JULI!J17</f>
        <v>0</v>
      </c>
      <c r="I19" s="8">
        <f>[1]AGUSTUS!M28</f>
        <v>1</v>
      </c>
      <c r="J19" s="8">
        <f>[1]SEPTEMBER!J17</f>
        <v>1</v>
      </c>
      <c r="K19" s="8">
        <f>[1]OKTOBER!L112</f>
        <v>0</v>
      </c>
      <c r="L19" s="8">
        <f>[1]NOVEMBER!L18</f>
        <v>0</v>
      </c>
      <c r="M19" s="8">
        <f>[1]DESEMBER!K18</f>
        <v>1</v>
      </c>
      <c r="N19" s="8">
        <f t="shared" si="0"/>
        <v>12</v>
      </c>
    </row>
    <row r="20" spans="1:14">
      <c r="A20" s="22" t="s">
        <v>82</v>
      </c>
      <c r="B20" s="8">
        <f>[1]JANUARI!J18</f>
        <v>0</v>
      </c>
      <c r="C20" s="8">
        <f>[1]FEBRUARI!K18</f>
        <v>0</v>
      </c>
      <c r="D20" s="8">
        <f>[1]MARET!K18</f>
        <v>0</v>
      </c>
      <c r="E20" s="8">
        <f>[1]APRIL!K19</f>
        <v>38</v>
      </c>
      <c r="F20" s="8">
        <f>[1]MEI!L18</f>
        <v>59</v>
      </c>
      <c r="G20" s="8">
        <f>[1]JUNI!J18</f>
        <v>59</v>
      </c>
      <c r="H20" s="8">
        <f>[1]JULI!J18</f>
        <v>50</v>
      </c>
      <c r="I20" s="8">
        <f>[1]AGUSTUS!M29</f>
        <v>36</v>
      </c>
      <c r="J20" s="8">
        <f>[1]SEPTEMBER!J18</f>
        <v>51</v>
      </c>
      <c r="K20" s="8">
        <f>[1]OKTOBER!L113</f>
        <v>51</v>
      </c>
      <c r="L20" s="8">
        <f>[1]NOVEMBER!L19</f>
        <v>54</v>
      </c>
      <c r="M20" s="8">
        <f>[1]DESEMBER!K19</f>
        <v>49</v>
      </c>
      <c r="N20" s="8">
        <f t="shared" si="0"/>
        <v>447</v>
      </c>
    </row>
    <row r="21" spans="1:14" ht="15">
      <c r="A21" s="23" t="s">
        <v>18</v>
      </c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</row>
    <row r="22" spans="1:14" ht="15">
      <c r="A22" s="24" t="s">
        <v>193</v>
      </c>
      <c r="B22" s="24">
        <f>SUM(B6:B21)</f>
        <v>129</v>
      </c>
      <c r="C22" s="24">
        <f t="shared" ref="C22:N22" si="1">SUM(C6:C21)</f>
        <v>156</v>
      </c>
      <c r="D22" s="24">
        <f t="shared" si="1"/>
        <v>98</v>
      </c>
      <c r="E22" s="24">
        <f t="shared" si="1"/>
        <v>208</v>
      </c>
      <c r="F22" s="24">
        <f t="shared" si="1"/>
        <v>268</v>
      </c>
      <c r="G22" s="24">
        <f t="shared" si="1"/>
        <v>291</v>
      </c>
      <c r="H22" s="24">
        <f t="shared" si="1"/>
        <v>294</v>
      </c>
      <c r="I22" s="24">
        <f t="shared" si="1"/>
        <v>245</v>
      </c>
      <c r="J22" s="24">
        <f t="shared" si="1"/>
        <v>283</v>
      </c>
      <c r="K22" s="24">
        <f t="shared" si="1"/>
        <v>291</v>
      </c>
      <c r="L22" s="24">
        <f t="shared" si="1"/>
        <v>320</v>
      </c>
      <c r="M22" s="24">
        <f t="shared" si="1"/>
        <v>302</v>
      </c>
      <c r="N22" s="24">
        <f t="shared" si="1"/>
        <v>2885</v>
      </c>
    </row>
    <row r="23" spans="1:14">
      <c r="A23" t="s">
        <v>212</v>
      </c>
      <c r="B23">
        <v>171</v>
      </c>
      <c r="C23">
        <v>207</v>
      </c>
      <c r="D23">
        <v>132</v>
      </c>
      <c r="E23">
        <v>216</v>
      </c>
      <c r="F23">
        <v>167</v>
      </c>
      <c r="G23">
        <v>197</v>
      </c>
      <c r="H23">
        <v>222</v>
      </c>
      <c r="I23">
        <v>200</v>
      </c>
      <c r="J23">
        <v>210</v>
      </c>
      <c r="K23">
        <v>240</v>
      </c>
      <c r="L23">
        <v>208</v>
      </c>
      <c r="M23">
        <v>214</v>
      </c>
    </row>
  </sheetData>
  <mergeCells count="4">
    <mergeCell ref="A2:M2"/>
    <mergeCell ref="A4:A5"/>
    <mergeCell ref="B4:M4"/>
    <mergeCell ref="N4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2025-01-01T07:14:20Z</dcterms:created>
  <dcterms:modified xsi:type="dcterms:W3CDTF">2025-01-02T05:22:45Z</dcterms:modified>
</cp:coreProperties>
</file>